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-12" yWindow="-12" windowWidth="4800" windowHeight="5208" tabRatio="692"/>
  </bookViews>
  <sheets>
    <sheet name="Instructions" sheetId="90" r:id="rId1"/>
    <sheet name="Residue Calculator" sheetId="2" r:id="rId2"/>
    <sheet name="Data Sheet" sheetId="3" r:id="rId3"/>
    <sheet name="Calculated curves" sheetId="89" r:id="rId4"/>
    <sheet name="Example Residue Plot" sheetId="88" r:id="rId5"/>
    <sheet name="Notes" sheetId="91" r:id="rId6"/>
  </sheets>
  <definedNames>
    <definedName name="anscount" hidden="1">81</definedName>
    <definedName name="solver_adj" localSheetId="1" hidden="1">'Residue Calculator'!$D$19</definedName>
    <definedName name="solver_cvg" localSheetId="1" hidden="1">0.001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'Residue Calculator'!$H$19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mp" localSheetId="1" hidden="1">'Residue Calculator'!$A$77:$B$77,'Residue Calculator'!$B$12:$D$14,'Residue Calculator'!$B$16,'Residue Calculator'!$F$1,'Residue Calculator'!#REF!</definedName>
    <definedName name="solver_tol" localSheetId="1" hidden="1">0.05</definedName>
    <definedName name="solver_typ" localSheetId="1" hidden="1">3</definedName>
    <definedName name="solver_val" localSheetId="1" hidden="1">760</definedName>
    <definedName name="StartRow">'Residue Calculator'!$A$77</definedName>
    <definedName name="TK">'Data Sheet'!$B$6</definedName>
  </definedNames>
  <calcPr calcId="125725"/>
</workbook>
</file>

<file path=xl/calcChain.xml><?xml version="1.0" encoding="utf-8"?>
<calcChain xmlns="http://schemas.openxmlformats.org/spreadsheetml/2006/main">
  <c r="B6" i="3"/>
  <c r="A19" i="2"/>
  <c r="B19"/>
  <c r="C19" s="1"/>
  <c r="E19"/>
  <c r="F19"/>
  <c r="G19"/>
  <c r="C27" i="3"/>
  <c r="E20" i="2"/>
  <c r="F20"/>
  <c r="G20"/>
  <c r="E21"/>
  <c r="F21"/>
  <c r="G21"/>
  <c r="E22"/>
  <c r="F22"/>
  <c r="G22"/>
  <c r="E23"/>
  <c r="F23"/>
  <c r="G23"/>
  <c r="E24"/>
  <c r="F24"/>
  <c r="G24"/>
  <c r="E25"/>
  <c r="F25"/>
  <c r="G25"/>
  <c r="E26"/>
  <c r="F26"/>
  <c r="G26"/>
  <c r="E27"/>
  <c r="F27"/>
  <c r="G27"/>
  <c r="E28"/>
  <c r="F28"/>
  <c r="G28"/>
  <c r="E29"/>
  <c r="F29"/>
  <c r="G29"/>
  <c r="E30"/>
  <c r="F30"/>
  <c r="G30"/>
  <c r="E31"/>
  <c r="F31"/>
  <c r="G31"/>
  <c r="E32"/>
  <c r="F32"/>
  <c r="G32"/>
  <c r="E33"/>
  <c r="F33"/>
  <c r="G33"/>
  <c r="E34"/>
  <c r="F34"/>
  <c r="G34"/>
  <c r="E35"/>
  <c r="F35"/>
  <c r="G35"/>
  <c r="E36"/>
  <c r="F36"/>
  <c r="G36"/>
  <c r="E37"/>
  <c r="F37"/>
  <c r="G37"/>
  <c r="E38"/>
  <c r="F38"/>
  <c r="G38"/>
  <c r="E39"/>
  <c r="F39"/>
  <c r="G39"/>
  <c r="E40"/>
  <c r="F40"/>
  <c r="G40"/>
  <c r="E41"/>
  <c r="F41"/>
  <c r="G41"/>
  <c r="E42"/>
  <c r="F42"/>
  <c r="G42"/>
  <c r="E43"/>
  <c r="F43"/>
  <c r="G43"/>
  <c r="E44"/>
  <c r="F44"/>
  <c r="G44"/>
  <c r="E45"/>
  <c r="F45"/>
  <c r="G45"/>
  <c r="E46"/>
  <c r="F46"/>
  <c r="G46"/>
  <c r="E47"/>
  <c r="F47"/>
  <c r="G47"/>
  <c r="E48"/>
  <c r="F48"/>
  <c r="G48"/>
  <c r="E49"/>
  <c r="F49"/>
  <c r="G49"/>
  <c r="E50"/>
  <c r="F50"/>
  <c r="G50"/>
  <c r="E51"/>
  <c r="F51"/>
  <c r="G51"/>
  <c r="E52"/>
  <c r="F52"/>
  <c r="G52"/>
  <c r="E53"/>
  <c r="F53"/>
  <c r="G53"/>
  <c r="E54"/>
  <c r="F54"/>
  <c r="G54"/>
  <c r="E55"/>
  <c r="F55"/>
  <c r="G55"/>
  <c r="E56"/>
  <c r="F56"/>
  <c r="G56"/>
  <c r="E57"/>
  <c r="F57"/>
  <c r="G57"/>
  <c r="E58"/>
  <c r="F58"/>
  <c r="G58"/>
  <c r="E59"/>
  <c r="F59"/>
  <c r="G59"/>
  <c r="E60"/>
  <c r="F60"/>
  <c r="G60"/>
  <c r="E61"/>
  <c r="F61"/>
  <c r="G61"/>
  <c r="E62"/>
  <c r="F62"/>
  <c r="G62"/>
  <c r="E63"/>
  <c r="F63"/>
  <c r="G63"/>
  <c r="E64"/>
  <c r="F64"/>
  <c r="G64"/>
  <c r="E65"/>
  <c r="F65"/>
  <c r="G65"/>
  <c r="E66"/>
  <c r="F66"/>
  <c r="G66"/>
  <c r="E67"/>
  <c r="F67"/>
  <c r="G67"/>
  <c r="E68"/>
  <c r="F68"/>
  <c r="G68"/>
  <c r="E69"/>
  <c r="F69"/>
  <c r="G69"/>
  <c r="E70"/>
  <c r="F70"/>
  <c r="G70"/>
  <c r="E71"/>
  <c r="F71"/>
  <c r="G71"/>
  <c r="E72"/>
  <c r="F72"/>
  <c r="G72"/>
  <c r="E73"/>
  <c r="F73"/>
  <c r="G73"/>
  <c r="E74"/>
  <c r="F74"/>
  <c r="G74"/>
  <c r="E75"/>
  <c r="F75"/>
  <c r="G75"/>
  <c r="E87"/>
  <c r="F87"/>
  <c r="G87"/>
  <c r="E86"/>
  <c r="F86"/>
  <c r="G86"/>
  <c r="E85"/>
  <c r="F85"/>
  <c r="G85"/>
  <c r="E84"/>
  <c r="F84"/>
  <c r="G84"/>
  <c r="E83"/>
  <c r="F83"/>
  <c r="G83"/>
  <c r="E82"/>
  <c r="F82"/>
  <c r="G82"/>
  <c r="E81"/>
  <c r="F81"/>
  <c r="G81"/>
  <c r="E80"/>
  <c r="F80"/>
  <c r="G80"/>
  <c r="E79"/>
  <c r="F79"/>
  <c r="G79"/>
  <c r="D17" i="3" a="1"/>
  <c r="D17" s="1"/>
  <c r="B17" a="1"/>
  <c r="B17"/>
  <c r="B15" s="1"/>
  <c r="C8"/>
  <c r="D8"/>
  <c r="B8"/>
  <c r="E77" i="2"/>
  <c r="F77"/>
  <c r="C77"/>
  <c r="G77"/>
  <c r="E76"/>
  <c r="F76"/>
  <c r="G76"/>
  <c r="E78"/>
  <c r="F78"/>
  <c r="G78"/>
  <c r="K14"/>
  <c r="C29" i="3" l="1"/>
  <c r="D27"/>
  <c r="D15"/>
  <c r="C15"/>
  <c r="D28"/>
  <c r="D16"/>
  <c r="C16"/>
  <c r="B16"/>
  <c r="B31" s="1"/>
  <c r="B29"/>
  <c r="B28"/>
  <c r="C31" l="1"/>
  <c r="B32" a="1"/>
  <c r="D31"/>
  <c r="C32" l="1"/>
  <c r="E32"/>
  <c r="B32"/>
  <c r="D32"/>
  <c r="F32"/>
  <c r="D33" l="1"/>
  <c r="B33"/>
  <c r="C33"/>
  <c r="B34" l="1" a="1"/>
  <c r="C34" l="1"/>
  <c r="C35" s="1"/>
  <c r="C10" s="1"/>
  <c r="E34"/>
  <c r="B34"/>
  <c r="B35" s="1"/>
  <c r="B10" s="1"/>
  <c r="D34"/>
  <c r="D35" s="1"/>
  <c r="D10" s="1"/>
  <c r="F34"/>
  <c r="H19" i="2" l="1"/>
  <c r="L19" s="1"/>
  <c r="O19" s="1"/>
  <c r="C11" i="3"/>
  <c r="B11"/>
  <c r="D11"/>
  <c r="N19" i="2" l="1"/>
  <c r="Q19" s="1"/>
  <c r="M19"/>
  <c r="P19" s="1"/>
  <c r="H77"/>
  <c r="N77" s="1"/>
  <c r="Q77" s="1"/>
  <c r="C78" s="1"/>
  <c r="M77" l="1"/>
  <c r="P77" s="1"/>
  <c r="B76" s="1"/>
  <c r="L77"/>
  <c r="O77" s="1"/>
  <c r="A78" s="1"/>
  <c r="A76" l="1"/>
  <c r="B78"/>
  <c r="C76" l="1"/>
  <c r="H76" s="1"/>
  <c r="H78"/>
  <c r="L78" s="1"/>
  <c r="O78" s="1"/>
  <c r="A79" s="1"/>
  <c r="L76"/>
  <c r="O76" s="1"/>
  <c r="A75" s="1"/>
  <c r="N76"/>
  <c r="Q76" s="1"/>
  <c r="M76"/>
  <c r="P76" s="1"/>
  <c r="B75" s="1"/>
  <c r="C75" l="1"/>
  <c r="H75"/>
  <c r="N78"/>
  <c r="Q78" s="1"/>
  <c r="C79" s="1"/>
  <c r="M78"/>
  <c r="P78" s="1"/>
  <c r="B79" s="1"/>
  <c r="L75" l="1"/>
  <c r="O75" s="1"/>
  <c r="A74" s="1"/>
  <c r="N75"/>
  <c r="Q75" s="1"/>
  <c r="M75"/>
  <c r="P75" s="1"/>
  <c r="B74" s="1"/>
  <c r="H79"/>
  <c r="C74" l="1"/>
  <c r="H74" s="1"/>
  <c r="L79"/>
  <c r="O79" s="1"/>
  <c r="A80" s="1"/>
  <c r="M79"/>
  <c r="P79" s="1"/>
  <c r="B80" s="1"/>
  <c r="N79"/>
  <c r="Q79" s="1"/>
  <c r="C80" s="1"/>
  <c r="M74" l="1"/>
  <c r="P74" s="1"/>
  <c r="B73" s="1"/>
  <c r="L74"/>
  <c r="O74" s="1"/>
  <c r="A73" s="1"/>
  <c r="N74"/>
  <c r="Q74" s="1"/>
  <c r="H80"/>
  <c r="C73" l="1"/>
  <c r="H73"/>
  <c r="L80"/>
  <c r="O80" s="1"/>
  <c r="A81" s="1"/>
  <c r="N80"/>
  <c r="Q80" s="1"/>
  <c r="C81" s="1"/>
  <c r="M80"/>
  <c r="P80" s="1"/>
  <c r="B81" s="1"/>
  <c r="L73" l="1"/>
  <c r="O73" s="1"/>
  <c r="A72" s="1"/>
  <c r="M73"/>
  <c r="P73" s="1"/>
  <c r="B72" s="1"/>
  <c r="N73"/>
  <c r="Q73" s="1"/>
  <c r="H81"/>
  <c r="C72" l="1"/>
  <c r="H72" s="1"/>
  <c r="L81"/>
  <c r="O81" s="1"/>
  <c r="A82" s="1"/>
  <c r="M81"/>
  <c r="P81" s="1"/>
  <c r="B82" s="1"/>
  <c r="N81"/>
  <c r="Q81" s="1"/>
  <c r="C82" s="1"/>
  <c r="L72" l="1"/>
  <c r="O72" s="1"/>
  <c r="A71" s="1"/>
  <c r="M72"/>
  <c r="P72" s="1"/>
  <c r="B71" s="1"/>
  <c r="N72"/>
  <c r="Q72" s="1"/>
  <c r="H82"/>
  <c r="C71" l="1"/>
  <c r="H71"/>
  <c r="L82"/>
  <c r="O82" s="1"/>
  <c r="A83" s="1"/>
  <c r="M82"/>
  <c r="P82" s="1"/>
  <c r="B83" s="1"/>
  <c r="N82"/>
  <c r="Q82" s="1"/>
  <c r="C83" s="1"/>
  <c r="M71" l="1"/>
  <c r="P71" s="1"/>
  <c r="B70" s="1"/>
  <c r="L71"/>
  <c r="O71" s="1"/>
  <c r="A70" s="1"/>
  <c r="N71"/>
  <c r="Q71" s="1"/>
  <c r="H83"/>
  <c r="C70" l="1"/>
  <c r="H70"/>
  <c r="L83"/>
  <c r="O83" s="1"/>
  <c r="A84" s="1"/>
  <c r="N83"/>
  <c r="Q83" s="1"/>
  <c r="C84" s="1"/>
  <c r="M83"/>
  <c r="P83" s="1"/>
  <c r="B84" s="1"/>
  <c r="M70" l="1"/>
  <c r="P70" s="1"/>
  <c r="B69" s="1"/>
  <c r="L70"/>
  <c r="O70" s="1"/>
  <c r="A69" s="1"/>
  <c r="N70"/>
  <c r="Q70" s="1"/>
  <c r="H84"/>
  <c r="C69" l="1"/>
  <c r="H69"/>
  <c r="L84"/>
  <c r="O84" s="1"/>
  <c r="A85" s="1"/>
  <c r="M84"/>
  <c r="P84" s="1"/>
  <c r="B85" s="1"/>
  <c r="N84"/>
  <c r="Q84" s="1"/>
  <c r="C85" s="1"/>
  <c r="M69" l="1"/>
  <c r="P69" s="1"/>
  <c r="B68" s="1"/>
  <c r="L69"/>
  <c r="O69" s="1"/>
  <c r="A68" s="1"/>
  <c r="N69"/>
  <c r="Q69" s="1"/>
  <c r="H85"/>
  <c r="C68" l="1"/>
  <c r="H68"/>
  <c r="L85"/>
  <c r="O85" s="1"/>
  <c r="A86" s="1"/>
  <c r="N85"/>
  <c r="Q85" s="1"/>
  <c r="C86" s="1"/>
  <c r="M85"/>
  <c r="P85" s="1"/>
  <c r="B86" s="1"/>
  <c r="M68" l="1"/>
  <c r="P68" s="1"/>
  <c r="B67" s="1"/>
  <c r="L68"/>
  <c r="O68" s="1"/>
  <c r="A67" s="1"/>
  <c r="N68"/>
  <c r="Q68" s="1"/>
  <c r="H86"/>
  <c r="C67" l="1"/>
  <c r="H67"/>
  <c r="L86"/>
  <c r="O86" s="1"/>
  <c r="A87" s="1"/>
  <c r="M86"/>
  <c r="P86" s="1"/>
  <c r="B87" s="1"/>
  <c r="N86"/>
  <c r="Q86" s="1"/>
  <c r="C87" s="1"/>
  <c r="M67" l="1"/>
  <c r="P67" s="1"/>
  <c r="B66" s="1"/>
  <c r="L67"/>
  <c r="O67" s="1"/>
  <c r="A66" s="1"/>
  <c r="N67"/>
  <c r="Q67" s="1"/>
  <c r="H87"/>
  <c r="C66" l="1"/>
  <c r="H66"/>
  <c r="M87"/>
  <c r="P87" s="1"/>
  <c r="L87"/>
  <c r="O87" s="1"/>
  <c r="N87"/>
  <c r="Q87" s="1"/>
  <c r="M66" l="1"/>
  <c r="P66" s="1"/>
  <c r="B65" s="1"/>
  <c r="L66"/>
  <c r="O66" s="1"/>
  <c r="A65" s="1"/>
  <c r="N66"/>
  <c r="Q66" s="1"/>
  <c r="C65" l="1"/>
  <c r="H65" s="1"/>
  <c r="M65" l="1"/>
  <c r="P65" s="1"/>
  <c r="B64" s="1"/>
  <c r="L65"/>
  <c r="O65" s="1"/>
  <c r="A64" s="1"/>
  <c r="N65"/>
  <c r="Q65" s="1"/>
  <c r="C64" l="1"/>
  <c r="H64"/>
  <c r="M64" l="1"/>
  <c r="P64" s="1"/>
  <c r="B63" s="1"/>
  <c r="L64"/>
  <c r="O64" s="1"/>
  <c r="A63" s="1"/>
  <c r="N64"/>
  <c r="Q64" s="1"/>
  <c r="C63" l="1"/>
  <c r="H63"/>
  <c r="M63" l="1"/>
  <c r="P63" s="1"/>
  <c r="B62" s="1"/>
  <c r="L63"/>
  <c r="O63" s="1"/>
  <c r="A62" s="1"/>
  <c r="N63"/>
  <c r="Q63" s="1"/>
  <c r="C62" l="1"/>
  <c r="H62" s="1"/>
  <c r="L62" l="1"/>
  <c r="O62" s="1"/>
  <c r="A61" s="1"/>
  <c r="M62"/>
  <c r="P62" s="1"/>
  <c r="B61" s="1"/>
  <c r="N62"/>
  <c r="Q62" s="1"/>
  <c r="C61" l="1"/>
  <c r="H61"/>
  <c r="L61" l="1"/>
  <c r="O61" s="1"/>
  <c r="A60" s="1"/>
  <c r="M61"/>
  <c r="P61" s="1"/>
  <c r="B60" s="1"/>
  <c r="N61"/>
  <c r="Q61" s="1"/>
  <c r="C60" l="1"/>
  <c r="H60"/>
  <c r="M60" l="1"/>
  <c r="P60" s="1"/>
  <c r="B59" s="1"/>
  <c r="N60"/>
  <c r="Q60" s="1"/>
  <c r="L60"/>
  <c r="O60" s="1"/>
  <c r="A59" s="1"/>
  <c r="C59" l="1"/>
  <c r="H59" s="1"/>
  <c r="L59" l="1"/>
  <c r="O59" s="1"/>
  <c r="A58" s="1"/>
  <c r="M59"/>
  <c r="P59" s="1"/>
  <c r="B58" s="1"/>
  <c r="N59"/>
  <c r="Q59" s="1"/>
  <c r="C58" l="1"/>
  <c r="H58"/>
  <c r="L58" l="1"/>
  <c r="O58" s="1"/>
  <c r="A57" s="1"/>
  <c r="M58"/>
  <c r="P58" s="1"/>
  <c r="B57" s="1"/>
  <c r="N58"/>
  <c r="Q58" s="1"/>
  <c r="C57" l="1"/>
  <c r="H57"/>
  <c r="L57" l="1"/>
  <c r="O57" s="1"/>
  <c r="A56" s="1"/>
  <c r="M57"/>
  <c r="P57" s="1"/>
  <c r="B56" s="1"/>
  <c r="N57"/>
  <c r="Q57" s="1"/>
  <c r="C56" l="1"/>
  <c r="H56" s="1"/>
  <c r="L56" l="1"/>
  <c r="O56" s="1"/>
  <c r="A55" s="1"/>
  <c r="M56"/>
  <c r="P56" s="1"/>
  <c r="B55" s="1"/>
  <c r="N56"/>
  <c r="Q56" s="1"/>
  <c r="C55" l="1"/>
  <c r="H55" s="1"/>
  <c r="L55" l="1"/>
  <c r="O55" s="1"/>
  <c r="A54" s="1"/>
  <c r="N55"/>
  <c r="Q55" s="1"/>
  <c r="M55"/>
  <c r="P55" s="1"/>
  <c r="B54" s="1"/>
  <c r="C54" l="1"/>
  <c r="H54"/>
  <c r="L54" l="1"/>
  <c r="O54" s="1"/>
  <c r="A53" s="1"/>
  <c r="M54"/>
  <c r="P54" s="1"/>
  <c r="B53" s="1"/>
  <c r="N54"/>
  <c r="Q54" s="1"/>
  <c r="C53" l="1"/>
  <c r="H53" s="1"/>
  <c r="L53" l="1"/>
  <c r="O53" s="1"/>
  <c r="A52" s="1"/>
  <c r="M53"/>
  <c r="P53" s="1"/>
  <c r="B52" s="1"/>
  <c r="N53"/>
  <c r="Q53" s="1"/>
  <c r="C52" l="1"/>
  <c r="H52" s="1"/>
  <c r="L52" l="1"/>
  <c r="O52" s="1"/>
  <c r="A51" s="1"/>
  <c r="M52"/>
  <c r="P52" s="1"/>
  <c r="B51" s="1"/>
  <c r="N52"/>
  <c r="Q52" s="1"/>
  <c r="C51" l="1"/>
  <c r="H51" s="1"/>
  <c r="L51" l="1"/>
  <c r="O51" s="1"/>
  <c r="A50" s="1"/>
  <c r="M51"/>
  <c r="P51" s="1"/>
  <c r="B50" s="1"/>
  <c r="N51"/>
  <c r="Q51" s="1"/>
  <c r="C50" l="1"/>
  <c r="H50" s="1"/>
  <c r="M50" l="1"/>
  <c r="P50" s="1"/>
  <c r="B49" s="1"/>
  <c r="L50"/>
  <c r="O50" s="1"/>
  <c r="A49" s="1"/>
  <c r="N50"/>
  <c r="Q50" s="1"/>
  <c r="C49" l="1"/>
  <c r="H49"/>
  <c r="L49" l="1"/>
  <c r="O49" s="1"/>
  <c r="A48" s="1"/>
  <c r="M49"/>
  <c r="P49" s="1"/>
  <c r="B48" s="1"/>
  <c r="N49"/>
  <c r="Q49" s="1"/>
  <c r="C48" l="1"/>
  <c r="H48"/>
  <c r="L48" l="1"/>
  <c r="O48" s="1"/>
  <c r="A47" s="1"/>
  <c r="M48"/>
  <c r="P48" s="1"/>
  <c r="B47" s="1"/>
  <c r="N48"/>
  <c r="Q48" s="1"/>
  <c r="C47" l="1"/>
  <c r="H47"/>
  <c r="L47" l="1"/>
  <c r="O47" s="1"/>
  <c r="A46" s="1"/>
  <c r="M47"/>
  <c r="P47" s="1"/>
  <c r="B46" s="1"/>
  <c r="N47"/>
  <c r="Q47" s="1"/>
  <c r="C46" l="1"/>
  <c r="H46"/>
  <c r="L46" l="1"/>
  <c r="O46" s="1"/>
  <c r="A45" s="1"/>
  <c r="M46"/>
  <c r="P46" s="1"/>
  <c r="B45" s="1"/>
  <c r="N46"/>
  <c r="Q46" s="1"/>
  <c r="C45" l="1"/>
  <c r="H45" s="1"/>
  <c r="L45" l="1"/>
  <c r="O45" s="1"/>
  <c r="A44" s="1"/>
  <c r="M45"/>
  <c r="P45" s="1"/>
  <c r="B44" s="1"/>
  <c r="N45"/>
  <c r="Q45" s="1"/>
  <c r="C44" l="1"/>
  <c r="H44"/>
  <c r="L44" l="1"/>
  <c r="O44" s="1"/>
  <c r="A43" s="1"/>
  <c r="M44"/>
  <c r="P44" s="1"/>
  <c r="B43" s="1"/>
  <c r="N44"/>
  <c r="Q44" s="1"/>
  <c r="C43" l="1"/>
  <c r="H43"/>
  <c r="L43" l="1"/>
  <c r="O43" s="1"/>
  <c r="A42" s="1"/>
  <c r="M43"/>
  <c r="P43" s="1"/>
  <c r="B42" s="1"/>
  <c r="N43"/>
  <c r="Q43" s="1"/>
  <c r="C42" l="1"/>
  <c r="H42"/>
  <c r="L42" l="1"/>
  <c r="O42" s="1"/>
  <c r="A41" s="1"/>
  <c r="M42"/>
  <c r="P42" s="1"/>
  <c r="B41" s="1"/>
  <c r="N42"/>
  <c r="Q42" s="1"/>
  <c r="C41" l="1"/>
  <c r="H41"/>
  <c r="L41" l="1"/>
  <c r="O41" s="1"/>
  <c r="A40" s="1"/>
  <c r="M41"/>
  <c r="P41" s="1"/>
  <c r="B40" s="1"/>
  <c r="N41"/>
  <c r="Q41" s="1"/>
  <c r="C40" l="1"/>
  <c r="H40"/>
  <c r="L40" l="1"/>
  <c r="O40" s="1"/>
  <c r="A39" s="1"/>
  <c r="M40"/>
  <c r="P40" s="1"/>
  <c r="B39" s="1"/>
  <c r="N40"/>
  <c r="Q40" s="1"/>
  <c r="C39" l="1"/>
  <c r="H39"/>
  <c r="L39" l="1"/>
  <c r="O39" s="1"/>
  <c r="A38" s="1"/>
  <c r="M39"/>
  <c r="P39" s="1"/>
  <c r="B38" s="1"/>
  <c r="N39"/>
  <c r="Q39" s="1"/>
  <c r="C38" l="1"/>
  <c r="H38"/>
  <c r="L38" l="1"/>
  <c r="O38" s="1"/>
  <c r="A37" s="1"/>
  <c r="M38"/>
  <c r="P38" s="1"/>
  <c r="B37" s="1"/>
  <c r="N38"/>
  <c r="Q38" s="1"/>
  <c r="C37" l="1"/>
  <c r="H37"/>
  <c r="L37" l="1"/>
  <c r="O37" s="1"/>
  <c r="A36" s="1"/>
  <c r="M37"/>
  <c r="P37" s="1"/>
  <c r="B36" s="1"/>
  <c r="N37"/>
  <c r="Q37" s="1"/>
  <c r="C36" l="1"/>
  <c r="H36"/>
  <c r="L36" l="1"/>
  <c r="O36" s="1"/>
  <c r="A35" s="1"/>
  <c r="M36"/>
  <c r="P36" s="1"/>
  <c r="B35" s="1"/>
  <c r="N36"/>
  <c r="Q36" s="1"/>
  <c r="C35" l="1"/>
  <c r="H35"/>
  <c r="L35" l="1"/>
  <c r="O35" s="1"/>
  <c r="A34" s="1"/>
  <c r="M35"/>
  <c r="P35" s="1"/>
  <c r="B34" s="1"/>
  <c r="N35"/>
  <c r="Q35" s="1"/>
  <c r="C34" l="1"/>
  <c r="H34" s="1"/>
  <c r="L34" l="1"/>
  <c r="O34" s="1"/>
  <c r="A33" s="1"/>
  <c r="M34"/>
  <c r="P34" s="1"/>
  <c r="B33" s="1"/>
  <c r="N34"/>
  <c r="Q34" s="1"/>
  <c r="C33" l="1"/>
  <c r="H33"/>
  <c r="L33" l="1"/>
  <c r="O33" s="1"/>
  <c r="A32" s="1"/>
  <c r="M33"/>
  <c r="P33" s="1"/>
  <c r="B32" s="1"/>
  <c r="N33"/>
  <c r="Q33" s="1"/>
  <c r="C32" l="1"/>
  <c r="H32"/>
  <c r="L32" l="1"/>
  <c r="O32" s="1"/>
  <c r="A31" s="1"/>
  <c r="M32"/>
  <c r="P32" s="1"/>
  <c r="B31" s="1"/>
  <c r="N32"/>
  <c r="Q32" s="1"/>
  <c r="C31" l="1"/>
  <c r="H31" s="1"/>
  <c r="L31" l="1"/>
  <c r="O31" s="1"/>
  <c r="A30" s="1"/>
  <c r="N31"/>
  <c r="Q31" s="1"/>
  <c r="M31"/>
  <c r="P31" s="1"/>
  <c r="B30" s="1"/>
  <c r="C30" l="1"/>
  <c r="H30"/>
  <c r="L30" l="1"/>
  <c r="O30" s="1"/>
  <c r="A29" s="1"/>
  <c r="N30"/>
  <c r="Q30" s="1"/>
  <c r="M30"/>
  <c r="P30" s="1"/>
  <c r="B29" s="1"/>
  <c r="C29" l="1"/>
  <c r="H29"/>
  <c r="L29" l="1"/>
  <c r="O29" s="1"/>
  <c r="A28" s="1"/>
  <c r="M29"/>
  <c r="P29" s="1"/>
  <c r="B28" s="1"/>
  <c r="N29"/>
  <c r="Q29" s="1"/>
  <c r="C28" l="1"/>
  <c r="H28"/>
  <c r="L28" l="1"/>
  <c r="O28" s="1"/>
  <c r="A27" s="1"/>
  <c r="M28"/>
  <c r="P28" s="1"/>
  <c r="B27" s="1"/>
  <c r="N28"/>
  <c r="Q28" s="1"/>
  <c r="C27" l="1"/>
  <c r="H27"/>
  <c r="L27" l="1"/>
  <c r="O27" s="1"/>
  <c r="A26" s="1"/>
  <c r="M27"/>
  <c r="P27" s="1"/>
  <c r="B26" s="1"/>
  <c r="N27"/>
  <c r="Q27" s="1"/>
  <c r="C26" l="1"/>
  <c r="H26"/>
  <c r="L26" l="1"/>
  <c r="O26" s="1"/>
  <c r="A25" s="1"/>
  <c r="M26"/>
  <c r="P26" s="1"/>
  <c r="B25" s="1"/>
  <c r="N26"/>
  <c r="Q26" s="1"/>
  <c r="C25" l="1"/>
  <c r="H25"/>
  <c r="L25" l="1"/>
  <c r="O25" s="1"/>
  <c r="A24" s="1"/>
  <c r="M25"/>
  <c r="P25" s="1"/>
  <c r="B24" s="1"/>
  <c r="N25"/>
  <c r="Q25" s="1"/>
  <c r="C24" l="1"/>
  <c r="H24"/>
  <c r="L24" l="1"/>
  <c r="O24" s="1"/>
  <c r="A23" s="1"/>
  <c r="M24"/>
  <c r="P24" s="1"/>
  <c r="B23" s="1"/>
  <c r="N24"/>
  <c r="Q24" s="1"/>
  <c r="C23" l="1"/>
  <c r="H23"/>
  <c r="L23" l="1"/>
  <c r="O23" s="1"/>
  <c r="A22" s="1"/>
  <c r="M23"/>
  <c r="P23" s="1"/>
  <c r="B22" s="1"/>
  <c r="N23"/>
  <c r="Q23" s="1"/>
  <c r="C22" l="1"/>
  <c r="H22" s="1"/>
  <c r="M22" l="1"/>
  <c r="P22" s="1"/>
  <c r="B21" s="1"/>
  <c r="L22"/>
  <c r="O22" s="1"/>
  <c r="A21" s="1"/>
  <c r="N22"/>
  <c r="Q22" s="1"/>
  <c r="C21" l="1"/>
  <c r="H21"/>
  <c r="L21" l="1"/>
  <c r="O21" s="1"/>
  <c r="A20" s="1"/>
  <c r="M21"/>
  <c r="P21" s="1"/>
  <c r="B20" s="1"/>
  <c r="N21"/>
  <c r="Q21" s="1"/>
  <c r="C20" l="1"/>
  <c r="H20"/>
  <c r="L20" l="1"/>
  <c r="O20" s="1"/>
  <c r="M20"/>
  <c r="P20" s="1"/>
  <c r="N20"/>
  <c r="Q20" s="1"/>
</calcChain>
</file>

<file path=xl/comments1.xml><?xml version="1.0" encoding="utf-8"?>
<comments xmlns="http://schemas.openxmlformats.org/spreadsheetml/2006/main">
  <authors>
    <author>Lira Research Group</author>
  </authors>
  <commentList>
    <comment ref="H76" authorId="0">
      <text>
        <r>
          <rPr>
            <b/>
            <sz val="8"/>
            <color indexed="81"/>
            <rFont val="Tahoma"/>
            <family val="2"/>
          </rPr>
          <t xml:space="preserve">To Change system pressure:  These three boxes, and the macro must be edited to reflect the new pressure in mm Hg.
</t>
        </r>
      </text>
    </comment>
  </commentList>
</comments>
</file>

<file path=xl/sharedStrings.xml><?xml version="1.0" encoding="utf-8"?>
<sst xmlns="http://schemas.openxmlformats.org/spreadsheetml/2006/main" count="115" uniqueCount="97">
  <si>
    <t>component</t>
  </si>
  <si>
    <t>P</t>
  </si>
  <si>
    <r>
      <t>d(ln(n</t>
    </r>
    <r>
      <rPr>
        <vertAlign val="superscript"/>
        <sz val="10"/>
        <rFont val="MS Sans Serif"/>
        <family val="2"/>
      </rPr>
      <t>L</t>
    </r>
    <r>
      <rPr>
        <sz val="10"/>
        <rFont val="MS Sans Serif"/>
        <family val="2"/>
      </rPr>
      <t>))</t>
    </r>
  </si>
  <si>
    <t>x1</t>
  </si>
  <si>
    <t>x2</t>
  </si>
  <si>
    <t>x3</t>
  </si>
  <si>
    <t>P1sat</t>
  </si>
  <si>
    <t>P2sat</t>
  </si>
  <si>
    <t>P3sat</t>
  </si>
  <si>
    <t>K1</t>
  </si>
  <si>
    <t>K2</t>
  </si>
  <si>
    <t>dx1</t>
  </si>
  <si>
    <t>dx2</t>
  </si>
  <si>
    <t>dx3</t>
  </si>
  <si>
    <t>x</t>
  </si>
  <si>
    <t>q</t>
  </si>
  <si>
    <t>r</t>
  </si>
  <si>
    <t>Name</t>
  </si>
  <si>
    <t>g</t>
  </si>
  <si>
    <t>F</t>
  </si>
  <si>
    <t>ZOOM in to see subscripts clearly, the i's and j's look the same when the font is small.</t>
  </si>
  <si>
    <t>K3</t>
  </si>
  <si>
    <t>G1</t>
  </si>
  <si>
    <t>G2</t>
  </si>
  <si>
    <t>G3</t>
  </si>
  <si>
    <t>Temp</t>
  </si>
  <si>
    <t>Methanol</t>
  </si>
  <si>
    <t>T(K)</t>
  </si>
  <si>
    <t>Instructions</t>
  </si>
  <si>
    <t>aij matrix (i = row, j=column), enter 0's for unused cells</t>
  </si>
  <si>
    <r>
      <t xml:space="preserve">Phase </t>
    </r>
    <r>
      <rPr>
        <i/>
        <sz val="10"/>
        <rFont val="Symbol"/>
        <family val="1"/>
        <charset val="2"/>
      </rPr>
      <t>a</t>
    </r>
  </si>
  <si>
    <t>System Pressure (mm Hg)</t>
  </si>
  <si>
    <t>This spreadsheet is constructed to calculate activity coefficients for 3 components</t>
  </si>
  <si>
    <t>Enter component names, aij's, r, q, and composition values.</t>
  </si>
  <si>
    <t>Ethanol</t>
  </si>
  <si>
    <t>Benzene</t>
  </si>
  <si>
    <t>Coordinates for diagonal</t>
  </si>
  <si>
    <t>on Residue Plot</t>
  </si>
  <si>
    <t>These curves were generated with the Residue Calculator and are shown on the Example Plot</t>
  </si>
  <si>
    <t>Residue.xls</t>
  </si>
  <si>
    <t>This workbook provides a method to calculate residue curves.</t>
  </si>
  <si>
    <t>Residue Calculator</t>
  </si>
  <si>
    <t>This is the main worksheet to perform the calculations.</t>
  </si>
  <si>
    <t>Data Sheet</t>
  </si>
  <si>
    <t>This is the UNIQUAC calculation for three components. Be sure</t>
  </si>
  <si>
    <t>to enter the pure component and binary parameters.</t>
  </si>
  <si>
    <t>Calculated Curves</t>
  </si>
  <si>
    <t>Example of a couple calculated curves using the provided</t>
  </si>
  <si>
    <t>parameters.</t>
  </si>
  <si>
    <t>Example Residue Plot</t>
  </si>
  <si>
    <t>Plot of the example residue curves.</t>
  </si>
  <si>
    <t>Introductory Chemical Engineering Thermodynamics, J.R. Elliott, C.T. Lira</t>
  </si>
  <si>
    <r>
      <t>x</t>
    </r>
    <r>
      <rPr>
        <sz val="10"/>
        <rFont val="Symbol"/>
        <family val="1"/>
        <charset val="2"/>
      </rPr>
      <t>g</t>
    </r>
  </si>
  <si>
    <r>
      <t>S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x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r</t>
    </r>
    <r>
      <rPr>
        <vertAlign val="subscript"/>
        <sz val="10"/>
        <rFont val="Arial"/>
        <family val="2"/>
      </rPr>
      <t>i</t>
    </r>
  </si>
  <si>
    <r>
      <t>t</t>
    </r>
    <r>
      <rPr>
        <sz val="10"/>
        <rFont val="Arial"/>
        <family val="2"/>
      </rPr>
      <t>ij matrix (i = row, j=column)</t>
    </r>
  </si>
  <si>
    <r>
      <t>S</t>
    </r>
    <r>
      <rPr>
        <vertAlign val="subscript"/>
        <sz val="10"/>
        <rFont val="Arial"/>
        <family val="2"/>
      </rPr>
      <t>i</t>
    </r>
    <r>
      <rPr>
        <sz val="10"/>
        <rFont val="Symbol"/>
        <family val="1"/>
        <charset val="2"/>
      </rPr>
      <t>(</t>
    </r>
    <r>
      <rPr>
        <sz val="10"/>
        <rFont val="Arial"/>
        <family val="2"/>
      </rPr>
      <t>q</t>
    </r>
    <r>
      <rPr>
        <vertAlign val="subscript"/>
        <sz val="10"/>
        <rFont val="Arial"/>
        <family val="2"/>
      </rPr>
      <t>i</t>
    </r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ij</t>
    </r>
    <r>
      <rPr>
        <sz val="10"/>
        <rFont val="Symbol"/>
        <family val="1"/>
        <charset val="2"/>
      </rPr>
      <t>)</t>
    </r>
  </si>
  <si>
    <r>
      <t>q</t>
    </r>
    <r>
      <rPr>
        <vertAlign val="subscript"/>
        <sz val="10"/>
        <rFont val="Arial"/>
        <family val="2"/>
      </rPr>
      <t>j</t>
    </r>
    <r>
      <rPr>
        <sz val="10"/>
        <rFont val="Symbol"/>
        <family val="1"/>
        <charset val="2"/>
      </rPr>
      <t>/S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(q</t>
    </r>
    <r>
      <rPr>
        <vertAlign val="subscript"/>
        <sz val="10"/>
        <rFont val="Arial"/>
        <family val="2"/>
      </rPr>
      <t>i</t>
    </r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ij</t>
    </r>
    <r>
      <rPr>
        <sz val="10"/>
        <rFont val="Arial"/>
        <family val="2"/>
      </rPr>
      <t>)</t>
    </r>
  </si>
  <si>
    <r>
      <t>ln(</t>
    </r>
    <r>
      <rPr>
        <sz val="10"/>
        <rFont val="Symbol"/>
        <family val="1"/>
        <charset val="2"/>
      </rPr>
      <t>g</t>
    </r>
    <r>
      <rPr>
        <vertAlign val="superscript"/>
        <sz val="10"/>
        <rFont val="Arial"/>
        <family val="2"/>
      </rPr>
      <t>comb</t>
    </r>
    <r>
      <rPr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</si>
  <si>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j</t>
    </r>
    <r>
      <rPr>
        <sz val="10"/>
        <rFont val="Symbol"/>
        <family val="1"/>
        <charset val="2"/>
      </rPr>
      <t>{</t>
    </r>
    <r>
      <rPr>
        <sz val="10"/>
        <rFont val="Arial"/>
        <family val="2"/>
      </rPr>
      <t>q</t>
    </r>
    <r>
      <rPr>
        <vertAlign val="subscript"/>
        <sz val="10"/>
        <rFont val="Arial"/>
        <family val="2"/>
      </rPr>
      <t>j</t>
    </r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kj</t>
    </r>
    <r>
      <rPr>
        <sz val="10"/>
        <rFont val="Symbol"/>
        <family val="1"/>
        <charset val="2"/>
      </rPr>
      <t>/(S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q</t>
    </r>
    <r>
      <rPr>
        <vertAlign val="subscript"/>
        <sz val="10"/>
        <rFont val="Arial"/>
        <family val="2"/>
      </rPr>
      <t>i</t>
    </r>
    <r>
      <rPr>
        <sz val="10"/>
        <rFont val="Symbol"/>
        <family val="1"/>
        <charset val="2"/>
      </rPr>
      <t>t</t>
    </r>
    <r>
      <rPr>
        <vertAlign val="subscript"/>
        <sz val="10"/>
        <rFont val="Arial"/>
        <family val="2"/>
      </rPr>
      <t>ij</t>
    </r>
    <r>
      <rPr>
        <sz val="10"/>
        <rFont val="Symbol"/>
        <family val="1"/>
        <charset val="2"/>
      </rPr>
      <t>)}</t>
    </r>
  </si>
  <si>
    <r>
      <t>ln(</t>
    </r>
    <r>
      <rPr>
        <sz val="10"/>
        <rFont val="Symbol"/>
        <family val="1"/>
        <charset val="2"/>
      </rPr>
      <t>g</t>
    </r>
    <r>
      <rPr>
        <vertAlign val="superscript"/>
        <sz val="10"/>
        <rFont val="Arial"/>
        <family val="2"/>
      </rPr>
      <t>resid</t>
    </r>
    <r>
      <rPr>
        <sz val="10"/>
        <rFont val="Arial"/>
        <family val="2"/>
      </rPr>
      <t>)</t>
    </r>
  </si>
  <si>
    <r>
      <t>S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x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q</t>
    </r>
    <r>
      <rPr>
        <vertAlign val="subscript"/>
        <sz val="10"/>
        <rFont val="Arial"/>
        <family val="2"/>
      </rPr>
      <t>i</t>
    </r>
  </si>
  <si>
    <t>The macro START performs the calculations after the user initializes</t>
  </si>
  <si>
    <t>the table. The macro uses Euler integration which is approximate.</t>
  </si>
  <si>
    <t>Residue Curve Calculator using approximate Euler integration</t>
  </si>
  <si>
    <r>
      <t xml:space="preserve">These curves were copied and the </t>
    </r>
    <r>
      <rPr>
        <i/>
        <sz val="10"/>
        <rFont val="MS Sans Serif"/>
        <family val="2"/>
      </rPr>
      <t>values</t>
    </r>
    <r>
      <rPr>
        <sz val="10"/>
        <rFont val="MS Sans Serif"/>
        <family val="2"/>
      </rPr>
      <t xml:space="preserve"> were pasted in columns before plotting.</t>
    </r>
  </si>
  <si>
    <t>3. The starting composition is the row with a line above and a line below. Click the</t>
  </si>
  <si>
    <t>starting composition. Make sure the starting composition row is on row 20.</t>
  </si>
  <si>
    <t>StartRow location</t>
  </si>
  <si>
    <t>Curve1</t>
  </si>
  <si>
    <t>Curve2</t>
  </si>
  <si>
    <t>Curve3</t>
  </si>
  <si>
    <t>Curve4</t>
  </si>
  <si>
    <t>Curve5</t>
  </si>
  <si>
    <t>Curve6</t>
  </si>
  <si>
    <t>Curve7</t>
  </si>
  <si>
    <t>Curve8</t>
  </si>
  <si>
    <t>Troubleshooting is usually for one of three items.</t>
  </si>
  <si>
    <t>1. To terminate a macro during execution, press ESC quickly and repetitively.</t>
  </si>
  <si>
    <t>2. If macro doesn't run and Compile error: Sub or Function not defined.</t>
  </si>
  <si>
    <t>This error occurs when Excel can't find Solver.xla by itself. To remedy,</t>
  </si>
  <si>
    <t>in Visual Basic window, click Run.. Reset (or blue square on Visual Basic tool bar)</t>
  </si>
  <si>
    <t xml:space="preserve"> to stop macro. Then in the Visual Basic window use Tools.. References..</t>
  </si>
  <si>
    <t>Check the Solver box. Use the Browse button to find SOLVER.XLA. It resides</t>
  </si>
  <si>
    <t>in the Office/Library/Solver subdirectory where MS office is installed.</t>
  </si>
  <si>
    <t xml:space="preserve">3. Do not manually add rows or columns to Residue Calculator or Data Sheet,  </t>
  </si>
  <si>
    <t>which will confuse the Macro cell references.</t>
  </si>
  <si>
    <r>
      <t xml:space="preserve">If macro doesn't run, check </t>
    </r>
    <r>
      <rPr>
        <i/>
        <sz val="10"/>
        <rFont val="MS Sans Serif"/>
        <family val="2"/>
      </rPr>
      <t>troubleshooting</t>
    </r>
    <r>
      <rPr>
        <sz val="10"/>
        <rFont val="MS Sans Serif"/>
        <family val="2"/>
      </rPr>
      <t xml:space="preserve"> instructions at right.</t>
    </r>
  </si>
  <si>
    <t>4. Adjust the starting composition.  Then use "Start New Calcs" button to call macro and start iterations.</t>
  </si>
  <si>
    <r>
      <t xml:space="preserve">5. Paste </t>
    </r>
    <r>
      <rPr>
        <i/>
        <sz val="10"/>
        <rFont val="MS Sans Serif"/>
        <family val="2"/>
      </rPr>
      <t>values</t>
    </r>
    <r>
      <rPr>
        <sz val="10"/>
        <rFont val="MS Sans Serif"/>
        <family val="2"/>
      </rPr>
      <t xml:space="preserve"> from first two columns on Calculated Curves sheet. Return to step 3.</t>
    </r>
  </si>
  <si>
    <t>using the UNIQUAC activity coefficient expression and is called by the macro.</t>
  </si>
  <si>
    <t>1. Enter Antoine parameters on this sheet, and UNIQUAC parameters on Data Sheet.</t>
  </si>
  <si>
    <t>"Clear old Calcs" button at left to delete rows leaving one row above and one row below</t>
  </si>
  <si>
    <r>
      <t xml:space="preserve">2. Save worksheet with new name, and </t>
    </r>
    <r>
      <rPr>
        <sz val="10"/>
        <color indexed="10"/>
        <rFont val="MS Sans Serif"/>
        <family val="2"/>
      </rPr>
      <t>unprotect sheet</t>
    </r>
    <r>
      <rPr>
        <sz val="10"/>
        <rFont val="MS Sans Serif"/>
        <family val="2"/>
      </rPr>
      <t>.</t>
    </r>
  </si>
  <si>
    <t>resaved with the reference to 'Solver.xla' as C:\Program Files\Microsoft Office\Office10\Library\Solver\SOLVER.XLA</t>
  </si>
  <si>
    <t>This reference will not satfisfy all applications, see the text book website for troubleshooting errors from using Solver within Macros.</t>
  </si>
  <si>
    <t>Copyright 1998-2011 Joe Avore and Carl Lira, for use with</t>
  </si>
  <si>
    <t>Revised Macro to point to Solver. I don't know yet what problems may arise with Excel 2007-2010.</t>
  </si>
</sst>
</file>

<file path=xl/styles.xml><?xml version="1.0" encoding="utf-8"?>
<styleSheet xmlns="http://schemas.openxmlformats.org/spreadsheetml/2006/main">
  <numFmts count="4">
    <numFmt numFmtId="164" formatCode="General_)"/>
    <numFmt numFmtId="165" formatCode="0.000"/>
    <numFmt numFmtId="166" formatCode="0.0000"/>
    <numFmt numFmtId="167" formatCode="0.000000"/>
  </numFmts>
  <fonts count="24">
    <font>
      <sz val="10"/>
      <name val="MS Sans Serif"/>
    </font>
    <font>
      <b/>
      <sz val="10"/>
      <name val="MS Sans Serif"/>
      <family val="2"/>
    </font>
    <font>
      <i/>
      <sz val="10"/>
      <name val="MS Sans Serif"/>
      <family val="2"/>
    </font>
    <font>
      <sz val="10"/>
      <name val="MS Sans Serif"/>
      <family val="2"/>
    </font>
    <font>
      <sz val="10"/>
      <color indexed="18"/>
      <name val="MS Sans Serif"/>
      <family val="2"/>
    </font>
    <font>
      <i/>
      <sz val="10"/>
      <color indexed="12"/>
      <name val="MS Sans Serif"/>
      <family val="2"/>
    </font>
    <font>
      <sz val="10"/>
      <color indexed="12"/>
      <name val="MS Sans Serif"/>
      <family val="2"/>
    </font>
    <font>
      <vertAlign val="superscript"/>
      <sz val="10"/>
      <name val="MS Sans Serif"/>
      <family val="2"/>
    </font>
    <font>
      <sz val="10"/>
      <name val="Arial"/>
      <family val="2"/>
    </font>
    <font>
      <sz val="10"/>
      <name val="Courier"/>
      <family val="3"/>
    </font>
    <font>
      <sz val="10"/>
      <name val="Arial"/>
      <family val="2"/>
    </font>
    <font>
      <sz val="10"/>
      <color indexed="12"/>
      <name val="Arial"/>
      <family val="2"/>
    </font>
    <font>
      <sz val="10"/>
      <name val="Symbol"/>
      <family val="1"/>
      <charset val="2"/>
    </font>
    <font>
      <sz val="10"/>
      <name val="MS Sans Serif"/>
      <family val="2"/>
    </font>
    <font>
      <i/>
      <sz val="10"/>
      <name val="MS Sans Serif"/>
      <family val="2"/>
    </font>
    <font>
      <sz val="10"/>
      <color indexed="12"/>
      <name val="MS Sans Serif"/>
      <family val="2"/>
    </font>
    <font>
      <sz val="10"/>
      <color indexed="8"/>
      <name val="MS Sans Serif"/>
      <family val="2"/>
    </font>
    <font>
      <i/>
      <sz val="10"/>
      <name val="Symbol"/>
      <family val="1"/>
      <charset val="2"/>
    </font>
    <font>
      <b/>
      <sz val="8"/>
      <color indexed="81"/>
      <name val="Tahoma"/>
      <family val="2"/>
    </font>
    <font>
      <sz val="10"/>
      <color indexed="9"/>
      <name val="Arial"/>
      <family val="2"/>
    </font>
    <font>
      <sz val="18"/>
      <name val="MS Sans Serif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10"/>
      <color indexed="10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164" fontId="9" fillId="0" borderId="0"/>
    <xf numFmtId="0" fontId="8" fillId="0" borderId="0"/>
  </cellStyleXfs>
  <cellXfs count="73">
    <xf numFmtId="0" fontId="0" fillId="0" borderId="0" xfId="0"/>
    <xf numFmtId="0" fontId="1" fillId="0" borderId="0" xfId="0" applyFont="1"/>
    <xf numFmtId="0" fontId="6" fillId="0" borderId="0" xfId="0" applyFont="1" applyFill="1" applyBorder="1" applyAlignment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>
      <alignment horizontal="left"/>
    </xf>
    <xf numFmtId="0" fontId="6" fillId="0" borderId="1" xfId="0" applyFont="1" applyFill="1" applyBorder="1" applyAlignment="1" applyProtection="1">
      <protection locked="0"/>
    </xf>
    <xf numFmtId="0" fontId="2" fillId="0" borderId="1" xfId="0" applyFont="1" applyFill="1" applyBorder="1" applyAlignment="1"/>
    <xf numFmtId="0" fontId="5" fillId="0" borderId="1" xfId="0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/>
    <xf numFmtId="0" fontId="0" fillId="0" borderId="0" xfId="0" applyAlignment="1">
      <alignment horizontal="right"/>
    </xf>
    <xf numFmtId="0" fontId="0" fillId="0" borderId="0" xfId="0" applyBorder="1"/>
    <xf numFmtId="0" fontId="0" fillId="0" borderId="2" xfId="0" applyBorder="1"/>
    <xf numFmtId="0" fontId="0" fillId="0" borderId="2" xfId="0" applyFont="1" applyFill="1" applyBorder="1" applyAlignment="1" applyProtection="1"/>
    <xf numFmtId="164" fontId="9" fillId="0" borderId="0" xfId="1"/>
    <xf numFmtId="0" fontId="8" fillId="0" borderId="0" xfId="2"/>
    <xf numFmtId="0" fontId="8" fillId="0" borderId="1" xfId="2" applyBorder="1"/>
    <xf numFmtId="0" fontId="11" fillId="0" borderId="1" xfId="2" applyFont="1" applyBorder="1" applyProtection="1">
      <protection locked="0"/>
    </xf>
    <xf numFmtId="0" fontId="10" fillId="0" borderId="1" xfId="2" applyFont="1" applyBorder="1" applyProtection="1"/>
    <xf numFmtId="0" fontId="12" fillId="0" borderId="1" xfId="2" applyFont="1" applyBorder="1"/>
    <xf numFmtId="0" fontId="8" fillId="0" borderId="0" xfId="2" applyBorder="1"/>
    <xf numFmtId="0" fontId="11" fillId="0" borderId="0" xfId="2" applyFont="1" applyBorder="1" applyProtection="1">
      <protection locked="0"/>
    </xf>
    <xf numFmtId="0" fontId="12" fillId="0" borderId="0" xfId="2" applyFont="1"/>
    <xf numFmtId="0" fontId="10" fillId="0" borderId="0" xfId="2" applyFont="1"/>
    <xf numFmtId="0" fontId="10" fillId="0" borderId="1" xfId="2" applyFont="1" applyBorder="1"/>
    <xf numFmtId="0" fontId="4" fillId="0" borderId="0" xfId="0" applyFont="1" applyBorder="1" applyProtection="1">
      <protection locked="0"/>
    </xf>
    <xf numFmtId="0" fontId="13" fillId="0" borderId="0" xfId="0" applyFont="1" applyFill="1" applyBorder="1" applyAlignment="1" applyProtection="1">
      <protection locked="0"/>
    </xf>
    <xf numFmtId="0" fontId="13" fillId="0" borderId="2" xfId="0" applyFont="1" applyFill="1" applyBorder="1" applyAlignment="1" applyProtection="1">
      <protection locked="0"/>
    </xf>
    <xf numFmtId="0" fontId="13" fillId="0" borderId="0" xfId="0" applyFont="1"/>
    <xf numFmtId="0" fontId="14" fillId="0" borderId="0" xfId="0" applyFont="1"/>
    <xf numFmtId="0" fontId="15" fillId="2" borderId="3" xfId="0" applyFont="1" applyFill="1" applyBorder="1"/>
    <xf numFmtId="0" fontId="15" fillId="0" borderId="2" xfId="0" applyFont="1" applyBorder="1"/>
    <xf numFmtId="0" fontId="16" fillId="0" borderId="0" xfId="0" applyFont="1" applyFill="1" applyBorder="1" applyAlignment="1" applyProtection="1">
      <protection locked="0"/>
    </xf>
    <xf numFmtId="0" fontId="16" fillId="0" borderId="2" xfId="0" applyFont="1" applyFill="1" applyBorder="1" applyAlignment="1" applyProtection="1">
      <protection locked="0"/>
    </xf>
    <xf numFmtId="166" fontId="11" fillId="0" borderId="1" xfId="2" applyNumberFormat="1" applyFont="1" applyBorder="1" applyProtection="1">
      <protection locked="0"/>
    </xf>
    <xf numFmtId="165" fontId="11" fillId="0" borderId="1" xfId="2" applyNumberFormat="1" applyFont="1" applyBorder="1" applyProtection="1">
      <protection locked="0"/>
    </xf>
    <xf numFmtId="167" fontId="8" fillId="0" borderId="0" xfId="2" applyNumberFormat="1"/>
    <xf numFmtId="167" fontId="8" fillId="0" borderId="0" xfId="2" applyNumberFormat="1" applyFont="1"/>
    <xf numFmtId="0" fontId="15" fillId="0" borderId="0" xfId="0" applyFont="1"/>
    <xf numFmtId="0" fontId="10" fillId="0" borderId="0" xfId="2" applyFont="1" applyBorder="1" applyProtection="1"/>
    <xf numFmtId="11" fontId="11" fillId="0" borderId="0" xfId="2" applyNumberFormat="1" applyFont="1" applyBorder="1" applyProtection="1">
      <protection locked="0"/>
    </xf>
    <xf numFmtId="2" fontId="15" fillId="0" borderId="2" xfId="0" applyNumberFormat="1" applyFont="1" applyBorder="1"/>
    <xf numFmtId="0" fontId="8" fillId="0" borderId="3" xfId="2" applyBorder="1"/>
    <xf numFmtId="0" fontId="11" fillId="0" borderId="3" xfId="2" applyFont="1" applyBorder="1" applyProtection="1">
      <protection locked="0"/>
    </xf>
    <xf numFmtId="0" fontId="8" fillId="0" borderId="4" xfId="2" applyBorder="1"/>
    <xf numFmtId="0" fontId="11" fillId="0" borderId="4" xfId="2" applyFont="1" applyBorder="1" applyProtection="1">
      <protection locked="0"/>
    </xf>
    <xf numFmtId="11" fontId="11" fillId="0" borderId="4" xfId="2" applyNumberFormat="1" applyFont="1" applyBorder="1" applyProtection="1">
      <protection locked="0"/>
    </xf>
    <xf numFmtId="166" fontId="11" fillId="0" borderId="3" xfId="2" applyNumberFormat="1" applyFont="1" applyBorder="1" applyProtection="1">
      <protection locked="0"/>
    </xf>
    <xf numFmtId="165" fontId="11" fillId="0" borderId="3" xfId="2" applyNumberFormat="1" applyFont="1" applyBorder="1" applyProtection="1">
      <protection locked="0"/>
    </xf>
    <xf numFmtId="166" fontId="11" fillId="0" borderId="0" xfId="2" applyNumberFormat="1" applyFont="1" applyBorder="1" applyProtection="1">
      <protection locked="0"/>
    </xf>
    <xf numFmtId="165" fontId="11" fillId="0" borderId="0" xfId="2" applyNumberFormat="1" applyFont="1" applyBorder="1" applyProtection="1">
      <protection locked="0"/>
    </xf>
    <xf numFmtId="167" fontId="8" fillId="0" borderId="0" xfId="2" applyNumberFormat="1" applyBorder="1"/>
    <xf numFmtId="166" fontId="11" fillId="0" borderId="4" xfId="2" applyNumberFormat="1" applyFont="1" applyBorder="1" applyProtection="1">
      <protection locked="0"/>
    </xf>
    <xf numFmtId="165" fontId="11" fillId="0" borderId="4" xfId="2" applyNumberFormat="1" applyFont="1" applyBorder="1" applyProtection="1">
      <protection locked="0"/>
    </xf>
    <xf numFmtId="167" fontId="8" fillId="0" borderId="4" xfId="2" applyNumberFormat="1" applyBorder="1"/>
    <xf numFmtId="0" fontId="10" fillId="0" borderId="3" xfId="2" applyFont="1" applyBorder="1" applyProtection="1"/>
    <xf numFmtId="0" fontId="10" fillId="0" borderId="4" xfId="2" applyFont="1" applyBorder="1" applyProtection="1"/>
    <xf numFmtId="0" fontId="8" fillId="0" borderId="4" xfId="2" applyFill="1" applyBorder="1"/>
    <xf numFmtId="0" fontId="19" fillId="0" borderId="4" xfId="2" applyFont="1" applyFill="1" applyBorder="1"/>
    <xf numFmtId="0" fontId="19" fillId="0" borderId="0" xfId="2" applyFont="1" applyBorder="1"/>
    <xf numFmtId="0" fontId="19" fillId="0" borderId="4" xfId="2" applyFont="1" applyBorder="1"/>
    <xf numFmtId="11" fontId="10" fillId="0" borderId="1" xfId="2" applyNumberFormat="1" applyFont="1" applyBorder="1" applyProtection="1">
      <protection locked="0"/>
    </xf>
    <xf numFmtId="11" fontId="10" fillId="0" borderId="3" xfId="2" applyNumberFormat="1" applyFont="1" applyBorder="1" applyProtection="1">
      <protection locked="0"/>
    </xf>
    <xf numFmtId="0" fontId="10" fillId="0" borderId="1" xfId="2" applyFont="1" applyBorder="1" applyProtection="1">
      <protection locked="0"/>
    </xf>
    <xf numFmtId="0" fontId="13" fillId="0" borderId="0" xfId="0" applyFont="1" applyFill="1" applyProtection="1"/>
    <xf numFmtId="0" fontId="13" fillId="0" borderId="0" xfId="0" applyFont="1" applyBorder="1" applyProtection="1"/>
    <xf numFmtId="0" fontId="0" fillId="0" borderId="5" xfId="0" applyBorder="1"/>
    <xf numFmtId="0" fontId="20" fillId="0" borderId="0" xfId="0" applyFont="1"/>
    <xf numFmtId="0" fontId="10" fillId="0" borderId="3" xfId="2" applyFont="1" applyBorder="1"/>
    <xf numFmtId="167" fontId="10" fillId="0" borderId="1" xfId="2" applyNumberFormat="1" applyFont="1" applyBorder="1"/>
    <xf numFmtId="167" fontId="10" fillId="0" borderId="0" xfId="2" applyNumberFormat="1" applyFont="1"/>
    <xf numFmtId="167" fontId="10" fillId="0" borderId="3" xfId="2" applyNumberFormat="1" applyFont="1" applyBorder="1"/>
    <xf numFmtId="14" fontId="0" fillId="0" borderId="0" xfId="0" applyNumberFormat="1"/>
    <xf numFmtId="0" fontId="3" fillId="0" borderId="0" xfId="0" applyFont="1"/>
  </cellXfs>
  <cellStyles count="3">
    <cellStyle name="Normal" xfId="0" builtinId="0"/>
    <cellStyle name="Normal_ACTCOEFF" xfId="1"/>
    <cellStyle name="Normal_UNIQUAC5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7.2064056939501825E-2"/>
          <c:y val="3.4031413612565467E-2"/>
          <c:w val="0.90569395017793553"/>
          <c:h val="0.85863874345549784"/>
        </c:manualLayout>
      </c:layout>
      <c:scatterChart>
        <c:scatterStyle val="lineMarker"/>
        <c:ser>
          <c:idx val="1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'Residue Calculator'!$L$12:$L$13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'Residue Calculator'!$M$12:$M$13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yVal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curves'!$A$5:$A$150</c:f>
              <c:numCache>
                <c:formatCode>General</c:formatCode>
                <c:ptCount val="146"/>
                <c:pt idx="0">
                  <c:v>0.39448615075428778</c:v>
                </c:pt>
                <c:pt idx="1">
                  <c:v>0.39459896305396142</c:v>
                </c:pt>
                <c:pt idx="2">
                  <c:v>0.39471947363812582</c:v>
                </c:pt>
                <c:pt idx="3">
                  <c:v>0.39484808927023785</c:v>
                </c:pt>
                <c:pt idx="4">
                  <c:v>0.39498521795947716</c:v>
                </c:pt>
                <c:pt idx="5">
                  <c:v>0.39513126450361036</c:v>
                </c:pt>
                <c:pt idx="6">
                  <c:v>0.39528662502312661</c:v>
                </c:pt>
                <c:pt idx="7">
                  <c:v>0.3954516803140356</c:v>
                </c:pt>
                <c:pt idx="8">
                  <c:v>0.39562678782024846</c:v>
                </c:pt>
                <c:pt idx="9">
                  <c:v>0.39581227199622748</c:v>
                </c:pt>
                <c:pt idx="10">
                  <c:v>0.39600841279608545</c:v>
                </c:pt>
                <c:pt idx="11">
                  <c:v>0.3962154319860075</c:v>
                </c:pt>
                <c:pt idx="12">
                  <c:v>0.39643347693216546</c:v>
                </c:pt>
                <c:pt idx="13">
                  <c:v>0.39666260146554461</c:v>
                </c:pt>
                <c:pt idx="14">
                  <c:v>0.39690274336762216</c:v>
                </c:pt>
                <c:pt idx="15">
                  <c:v>0.39715369795588812</c:v>
                </c:pt>
                <c:pt idx="16">
                  <c:v>0.39741508717502261</c:v>
                </c:pt>
                <c:pt idx="17">
                  <c:v>0.39768632351736666</c:v>
                </c:pt>
                <c:pt idx="18">
                  <c:v>0.39796656800439673</c:v>
                </c:pt>
                <c:pt idx="19">
                  <c:v>0.39825468135854963</c:v>
                </c:pt>
                <c:pt idx="20">
                  <c:v>0.39854916738136503</c:v>
                </c:pt>
                <c:pt idx="21">
                  <c:v>0.39884810742915883</c:v>
                </c:pt>
                <c:pt idx="22">
                  <c:v>0.39914908474125294</c:v>
                </c:pt>
                <c:pt idx="23">
                  <c:v>0.39944909722855876</c:v>
                </c:pt>
                <c:pt idx="24">
                  <c:v>0.39974445717312629</c:v>
                </c:pt>
                <c:pt idx="25">
                  <c:v>0.40003067612408694</c:v>
                </c:pt>
                <c:pt idx="26">
                  <c:v>0.40030233310550389</c:v>
                </c:pt>
                <c:pt idx="27">
                  <c:v>0.40055292408194093</c:v>
                </c:pt>
                <c:pt idx="28">
                  <c:v>0.40077469046532838</c:v>
                </c:pt>
                <c:pt idx="29">
                  <c:v>0.40095842430221984</c:v>
                </c:pt>
                <c:pt idx="30">
                  <c:v>0.40109324766807453</c:v>
                </c:pt>
                <c:pt idx="31">
                  <c:v>0.4011663637342654</c:v>
                </c:pt>
                <c:pt idx="32">
                  <c:v>0.4011627769903941</c:v>
                </c:pt>
                <c:pt idx="33">
                  <c:v>0.40106498023425358</c:v>
                </c:pt>
                <c:pt idx="34">
                  <c:v>0.40085260623085484</c:v>
                </c:pt>
                <c:pt idx="35">
                  <c:v>0.40050204245138105</c:v>
                </c:pt>
                <c:pt idx="36">
                  <c:v>0.39998600811266177</c:v>
                </c:pt>
                <c:pt idx="37">
                  <c:v>0.39927309395204191</c:v>
                </c:pt>
                <c:pt idx="38">
                  <c:v>0.39832726692707349</c:v>
                </c:pt>
                <c:pt idx="39">
                  <c:v>0.39710734450088653</c:v>
                </c:pt>
                <c:pt idx="40">
                  <c:v>0.39556644659215623</c:v>
                </c:pt>
                <c:pt idx="41">
                  <c:v>0.39365143793253754</c:v>
                </c:pt>
                <c:pt idx="42">
                  <c:v>0.39130237987427624</c:v>
                </c:pt>
                <c:pt idx="43">
                  <c:v>0.38845201913460509</c:v>
                </c:pt>
                <c:pt idx="44">
                  <c:v>0.38502535221187884</c:v>
                </c:pt>
                <c:pt idx="45">
                  <c:v>0.38093931911338602</c:v>
                </c:pt>
                <c:pt idx="46">
                  <c:v>0.37610269968056148</c:v>
                </c:pt>
                <c:pt idx="47">
                  <c:v>0.3704163115274306</c:v>
                </c:pt>
                <c:pt idx="48">
                  <c:v>0.36377364201051515</c:v>
                </c:pt>
                <c:pt idx="49">
                  <c:v>0.35606208943784157</c:v>
                </c:pt>
                <c:pt idx="50">
                  <c:v>0.34716504240560214</c:v>
                </c:pt>
                <c:pt idx="51">
                  <c:v>0.33696509124641566</c:v>
                </c:pt>
                <c:pt idx="52">
                  <c:v>0.3253487400376765</c:v>
                </c:pt>
                <c:pt idx="53">
                  <c:v>0.3122130637923784</c:v>
                </c:pt>
                <c:pt idx="54">
                  <c:v>0.29747481454939484</c:v>
                </c:pt>
                <c:pt idx="55">
                  <c:v>0.28108248282007237</c:v>
                </c:pt>
                <c:pt idx="56">
                  <c:v>0.26303169315455321</c:v>
                </c:pt>
                <c:pt idx="57">
                  <c:v>0.24338392667082151</c:v>
                </c:pt>
                <c:pt idx="58">
                  <c:v>0.22228772519425136</c:v>
                </c:pt>
                <c:pt idx="59">
                  <c:v>0.2</c:v>
                </c:pt>
                <c:pt idx="60">
                  <c:v>0.17771227480574867</c:v>
                </c:pt>
                <c:pt idx="61">
                  <c:v>0.15463734397795018</c:v>
                </c:pt>
                <c:pt idx="62">
                  <c:v>0.13124886144130865</c:v>
                </c:pt>
                <c:pt idx="63">
                  <c:v>0.10816565804009882</c:v>
                </c:pt>
                <c:pt idx="64">
                  <c:v>8.6132431120446926E-2</c:v>
                </c:pt>
                <c:pt idx="65">
                  <c:v>6.595572482221275E-2</c:v>
                </c:pt>
                <c:pt idx="66">
                  <c:v>4.8383873778281704E-2</c:v>
                </c:pt>
                <c:pt idx="67">
                  <c:v>3.3946551063367386E-2</c:v>
                </c:pt>
                <c:pt idx="68">
                  <c:v>2.2813813496878006E-2</c:v>
                </c:pt>
                <c:pt idx="69">
                  <c:v>1.4758216066812975E-2</c:v>
                </c:pt>
                <c:pt idx="70">
                  <c:v>9.2568394271248314E-3</c:v>
                </c:pt>
                <c:pt idx="71">
                  <c:v>5.6743418431979909E-3</c:v>
                </c:pt>
                <c:pt idx="72">
                  <c:v>3.4231598445038096E-3</c:v>
                </c:pt>
              </c:numCache>
            </c:numRef>
          </c:xVal>
          <c:yVal>
            <c:numRef>
              <c:f>'Calculated curves'!$B$5:$B$150</c:f>
              <c:numCache>
                <c:formatCode>General</c:formatCode>
                <c:ptCount val="146"/>
                <c:pt idx="0">
                  <c:v>4.7142798910073131E-3</c:v>
                </c:pt>
                <c:pt idx="1">
                  <c:v>5.1017949502559813E-3</c:v>
                </c:pt>
                <c:pt idx="2">
                  <c:v>5.5209832196493683E-3</c:v>
                </c:pt>
                <c:pt idx="3">
                  <c:v>5.9744033396824173E-3</c:v>
                </c:pt>
                <c:pt idx="4">
                  <c:v>6.4648156679843992E-3</c:v>
                </c:pt>
                <c:pt idx="5">
                  <c:v>6.9951973717001167E-3</c:v>
                </c:pt>
                <c:pt idx="6">
                  <c:v>7.5687585190956121E-3</c:v>
                </c:pt>
                <c:pt idx="7">
                  <c:v>8.1889592159698193E-3</c:v>
                </c:pt>
                <c:pt idx="8">
                  <c:v>8.8595278312314681E-3</c:v>
                </c:pt>
                <c:pt idx="9">
                  <c:v>9.5844803541515096E-3</c:v>
                </c:pt>
                <c:pt idx="10">
                  <c:v>1.036814092326359E-2</c:v>
                </c:pt>
                <c:pt idx="11">
                  <c:v>1.1215163563607515E-2</c:v>
                </c:pt>
                <c:pt idx="12">
                  <c:v>1.2130555164963216E-2</c:v>
                </c:pt>
                <c:pt idx="13">
                  <c:v>1.311969972890553E-2</c:v>
                </c:pt>
                <c:pt idx="14">
                  <c:v>1.4188383906969059E-2</c:v>
                </c:pt>
                <c:pt idx="15">
                  <c:v>1.5342823846057427E-2</c:v>
                </c:pt>
                <c:pt idx="16">
                  <c:v>1.6589693350660899E-2</c:v>
                </c:pt>
                <c:pt idx="17">
                  <c:v>1.7936153364778301E-2</c:v>
                </c:pt>
                <c:pt idx="18">
                  <c:v>1.9389882770149369E-2</c:v>
                </c:pt>
                <c:pt idx="19">
                  <c:v>2.0959110492174297E-2</c:v>
                </c:pt>
                <c:pt idx="20">
                  <c:v>2.2652648901676134E-2</c:v>
                </c:pt>
                <c:pt idx="21">
                  <c:v>2.447992850073296E-2</c:v>
                </c:pt>
                <c:pt idx="22">
                  <c:v>2.6451033885876662E-2</c:v>
                </c:pt>
                <c:pt idx="23">
                  <c:v>2.8576740994248132E-2</c:v>
                </c:pt>
                <c:pt idx="24">
                  <c:v>3.0868555660670233E-2</c:v>
                </c:pt>
                <c:pt idx="25">
                  <c:v>3.3338753549653481E-2</c:v>
                </c:pt>
                <c:pt idx="26">
                  <c:v>3.6000421580559029E-2</c:v>
                </c:pt>
                <c:pt idx="27">
                  <c:v>3.8867501041963855E-2</c:v>
                </c:pt>
                <c:pt idx="28">
                  <c:v>4.1954832699218188E-2</c:v>
                </c:pt>
                <c:pt idx="29">
                  <c:v>4.5278204344842463E-2</c:v>
                </c:pt>
                <c:pt idx="30">
                  <c:v>4.8854401433341223E-2</c:v>
                </c:pt>
                <c:pt idx="31">
                  <c:v>5.2701261689456963E-2</c:v>
                </c:pt>
                <c:pt idx="32">
                  <c:v>5.6837734891184911E-2</c:v>
                </c:pt>
                <c:pt idx="33">
                  <c:v>6.1283949414413882E-2</c:v>
                </c:pt>
                <c:pt idx="34">
                  <c:v>6.6061287590596846E-2</c:v>
                </c:pt>
                <c:pt idx="35">
                  <c:v>7.1192472472842411E-2</c:v>
                </c:pt>
                <c:pt idx="36">
                  <c:v>7.6701669220437224E-2</c:v>
                </c:pt>
                <c:pt idx="37">
                  <c:v>8.2614604973170372E-2</c:v>
                </c:pt>
                <c:pt idx="38">
                  <c:v>8.8958711747748498E-2</c:v>
                </c:pt>
                <c:pt idx="39">
                  <c:v>9.5763297467182096E-2</c:v>
                </c:pt>
                <c:pt idx="40">
                  <c:v>0.10305975059831088</c:v>
                </c:pt>
                <c:pt idx="41">
                  <c:v>0.11088178382024005</c:v>
                </c:pt>
                <c:pt idx="42">
                  <c:v>0.11926572137855368</c:v>
                </c:pt>
                <c:pt idx="43">
                  <c:v>0.12825083286913191</c:v>
                </c:pt>
                <c:pt idx="44">
                  <c:v>0.137879712546081</c:v>
                </c:pt>
                <c:pt idx="45">
                  <c:v>0.14819869705408217</c:v>
                </c:pt>
                <c:pt idx="46">
                  <c:v>0.15925830468215443</c:v>
                </c:pt>
                <c:pt idx="47">
                  <c:v>0.17111366445998982</c:v>
                </c:pt>
                <c:pt idx="48">
                  <c:v>0.18382488198331698</c:v>
                </c:pt>
                <c:pt idx="49">
                  <c:v>0.19745725877210257</c:v>
                </c:pt>
                <c:pt idx="50">
                  <c:v>0.21208124105747825</c:v>
                </c:pt>
                <c:pt idx="51">
                  <c:v>0.2277719201012241</c:v>
                </c:pt>
                <c:pt idx="52">
                  <c:v>0.24460783822256682</c:v>
                </c:pt>
                <c:pt idx="53">
                  <c:v>0.26266877361661078</c:v>
                </c:pt>
                <c:pt idx="54">
                  <c:v>0.2820320887941018</c:v>
                </c:pt>
                <c:pt idx="55">
                  <c:v>0.30276714828721768</c:v>
                </c:pt>
                <c:pt idx="56">
                  <c:v>0.32492727665547694</c:v>
                </c:pt>
                <c:pt idx="57">
                  <c:v>0.34853880694181583</c:v>
                </c:pt>
                <c:pt idx="58">
                  <c:v>0.37358708231929438</c:v>
                </c:pt>
                <c:pt idx="59">
                  <c:v>0.4</c:v>
                </c:pt>
                <c:pt idx="60">
                  <c:v>0.42641291768070566</c:v>
                </c:pt>
                <c:pt idx="61">
                  <c:v>0.45399532251450903</c:v>
                </c:pt>
                <c:pt idx="62">
                  <c:v>0.48253802426838821</c:v>
                </c:pt>
                <c:pt idx="63">
                  <c:v>0.51173092659197816</c:v>
                </c:pt>
                <c:pt idx="64">
                  <c:v>0.54115856039513266</c:v>
                </c:pt>
                <c:pt idx="65">
                  <c:v>0.57031911607201602</c:v>
                </c:pt>
                <c:pt idx="66">
                  <c:v>0.59867878559081333</c:v>
                </c:pt>
                <c:pt idx="67">
                  <c:v>0.62576116951117355</c:v>
                </c:pt>
                <c:pt idx="68">
                  <c:v>0.65124510554798787</c:v>
                </c:pt>
                <c:pt idx="69">
                  <c:v>0.67502117142753582</c:v>
                </c:pt>
                <c:pt idx="70">
                  <c:v>0.69717080906995332</c:v>
                </c:pt>
                <c:pt idx="71">
                  <c:v>0.71788423372691834</c:v>
                </c:pt>
                <c:pt idx="72">
                  <c:v>0.73737125304144246</c:v>
                </c:pt>
              </c:numCache>
            </c:numRef>
          </c:yVal>
        </c:ser>
        <c:ser>
          <c:idx val="0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curves'!$C$5:$C$150</c:f>
              <c:numCache>
                <c:formatCode>General</c:formatCode>
                <c:ptCount val="146"/>
                <c:pt idx="0">
                  <c:v>0.39472252560543725</c:v>
                </c:pt>
                <c:pt idx="1">
                  <c:v>0.39486686743807287</c:v>
                </c:pt>
                <c:pt idx="2">
                  <c:v>0.39502321930828438</c:v>
                </c:pt>
                <c:pt idx="3">
                  <c:v>0.39519258710638094</c:v>
                </c:pt>
                <c:pt idx="4">
                  <c:v>0.39537606205202686</c:v>
                </c:pt>
                <c:pt idx="5">
                  <c:v>0.39557482810876526</c:v>
                </c:pt>
                <c:pt idx="6">
                  <c:v>0.39579017007088263</c:v>
                </c:pt>
                <c:pt idx="7">
                  <c:v>0.39602348238787971</c:v>
                </c:pt>
                <c:pt idx="8">
                  <c:v>0.39627627879875255</c:v>
                </c:pt>
                <c:pt idx="9">
                  <c:v>0.39655020285604459</c:v>
                </c:pt>
                <c:pt idx="10">
                  <c:v>0.39684703942829752</c:v>
                </c:pt>
                <c:pt idx="11">
                  <c:v>0.39716872727922375</c:v>
                </c:pt>
                <c:pt idx="12">
                  <c:v>0.39751737283277239</c:v>
                </c:pt>
                <c:pt idx="13">
                  <c:v>0.39789526524540708</c:v>
                </c:pt>
                <c:pt idx="14">
                  <c:v>0.3983048929205138</c:v>
                </c:pt>
                <c:pt idx="15">
                  <c:v>0.39874896161509255</c:v>
                </c:pt>
                <c:pt idx="16">
                  <c:v>0.39923041430594258</c:v>
                </c:pt>
                <c:pt idx="17">
                  <c:v>0.39975245300165418</c:v>
                </c:pt>
                <c:pt idx="18">
                  <c:v>0.4003185627080923</c:v>
                </c:pt>
                <c:pt idx="19">
                  <c:v>0.40093253777895915</c:v>
                </c:pt>
                <c:pt idx="20">
                  <c:v>0.40159851090972443</c:v>
                </c:pt>
                <c:pt idx="21">
                  <c:v>0.40232098506299274</c:v>
                </c:pt>
                <c:pt idx="22">
                  <c:v>0.40310486864654821</c:v>
                </c:pt>
                <c:pt idx="23">
                  <c:v>0.40395551430215815</c:v>
                </c:pt>
                <c:pt idx="24">
                  <c:v>0.40487876170404169</c:v>
                </c:pt>
                <c:pt idx="25">
                  <c:v>0.40588098481097207</c:v>
                </c:pt>
                <c:pt idx="26">
                  <c:v>0.40696914406551565</c:v>
                </c:pt>
                <c:pt idx="27">
                  <c:v>0.40815084408806523</c:v>
                </c:pt>
                <c:pt idx="28">
                  <c:v>0.40943439747213678</c:v>
                </c:pt>
                <c:pt idx="29">
                  <c:v>0.41082889535073497</c:v>
                </c:pt>
                <c:pt idx="30">
                  <c:v>0.41234428547108393</c:v>
                </c:pt>
                <c:pt idx="31">
                  <c:v>0.41399145858594982</c:v>
                </c:pt>
                <c:pt idx="32">
                  <c:v>0.41578234404299058</c:v>
                </c:pt>
                <c:pt idx="33">
                  <c:v>0.41773001552725242</c:v>
                </c:pt>
                <c:pt idx="34">
                  <c:v>0.41984880798348784</c:v>
                </c:pt>
                <c:pt idx="35">
                  <c:v>0.42215444681066083</c:v>
                </c:pt>
                <c:pt idx="36">
                  <c:v>0.42466419047570048</c:v>
                </c:pt>
                <c:pt idx="37">
                  <c:v>0.42739698773024976</c:v>
                </c:pt>
                <c:pt idx="38">
                  <c:v>0.43037365062345823</c:v>
                </c:pt>
                <c:pt idx="39">
                  <c:v>0.43361704447338145</c:v>
                </c:pt>
                <c:pt idx="40">
                  <c:v>0.43715229587308763</c:v>
                </c:pt>
                <c:pt idx="41">
                  <c:v>0.4410070196442421</c:v>
                </c:pt>
                <c:pt idx="42">
                  <c:v>0.44521156538411416</c:v>
                </c:pt>
                <c:pt idx="43">
                  <c:v>0.44979928384810419</c:v>
                </c:pt>
                <c:pt idx="44">
                  <c:v>0.45480681282737662</c:v>
                </c:pt>
                <c:pt idx="45">
                  <c:v>0.46027438136899917</c:v>
                </c:pt>
                <c:pt idx="46">
                  <c:v>0.46624613008256011</c:v>
                </c:pt>
                <c:pt idx="47">
                  <c:v>0.47277044380920868</c:v>
                </c:pt>
                <c:pt idx="48">
                  <c:v>0.47990029100974135</c:v>
                </c:pt>
                <c:pt idx="49">
                  <c:v>0.48769356175468487</c:v>
                </c:pt>
                <c:pt idx="50">
                  <c:v>0.49621339304460543</c:v>
                </c:pt>
                <c:pt idx="51">
                  <c:v>0.50552846618450209</c:v>
                </c:pt>
                <c:pt idx="52">
                  <c:v>0.51571325582837413</c:v>
                </c:pt>
                <c:pt idx="53">
                  <c:v>0.52684820365300966</c:v>
                </c:pt>
                <c:pt idx="54">
                  <c:v>0.53901978066023959</c:v>
                </c:pt>
                <c:pt idx="55">
                  <c:v>0.55232038893770274</c:v>
                </c:pt>
                <c:pt idx="56">
                  <c:v>0.5668480335550774</c:v>
                </c:pt>
                <c:pt idx="57">
                  <c:v>0.58270566098276633</c:v>
                </c:pt>
                <c:pt idx="58">
                  <c:v>0.6</c:v>
                </c:pt>
                <c:pt idx="59">
                  <c:v>0.61729433901723363</c:v>
                </c:pt>
                <c:pt idx="60">
                  <c:v>0.63587932458264429</c:v>
                </c:pt>
                <c:pt idx="61">
                  <c:v>0.65580061423639491</c:v>
                </c:pt>
                <c:pt idx="62">
                  <c:v>0.67709410715241392</c:v>
                </c:pt>
                <c:pt idx="63">
                  <c:v>0.69978472182621132</c:v>
                </c:pt>
                <c:pt idx="64">
                  <c:v>0.72388552872034573</c:v>
                </c:pt>
                <c:pt idx="65">
                  <c:v>0.74939611573778198</c:v>
                </c:pt>
                <c:pt idx="66">
                  <c:v>0.77629696363404332</c:v>
                </c:pt>
                <c:pt idx="67">
                  <c:v>0.80453299512804421</c:v>
                </c:pt>
                <c:pt idx="68">
                  <c:v>0.83397444600938042</c:v>
                </c:pt>
              </c:numCache>
            </c:numRef>
          </c:xVal>
          <c:yVal>
            <c:numRef>
              <c:f>'Calculated curves'!$D$5:$D$150</c:f>
              <c:numCache>
                <c:formatCode>General</c:formatCode>
                <c:ptCount val="146"/>
                <c:pt idx="0">
                  <c:v>4.8093994839913607E-3</c:v>
                </c:pt>
                <c:pt idx="1">
                  <c:v>5.2045816245440447E-3</c:v>
                </c:pt>
                <c:pt idx="2">
                  <c:v>5.6320305511488224E-3</c:v>
                </c:pt>
                <c:pt idx="3">
                  <c:v>6.0943454784280855E-3</c:v>
                </c:pt>
                <c:pt idx="4">
                  <c:v>6.5943288543570807E-3</c:v>
                </c:pt>
                <c:pt idx="5">
                  <c:v>7.1350011719144594E-3</c:v>
                </c:pt>
                <c:pt idx="6">
                  <c:v>7.7196166654232082E-3</c:v>
                </c:pt>
                <c:pt idx="7">
                  <c:v>8.3516799068499778E-3</c:v>
                </c:pt>
                <c:pt idx="8">
                  <c:v>9.0349633087883768E-3</c:v>
                </c:pt>
                <c:pt idx="9">
                  <c:v>9.7735255299558291E-3</c:v>
                </c:pt>
                <c:pt idx="10">
                  <c:v>1.0571730765317033E-2</c:v>
                </c:pt>
                <c:pt idx="11">
                  <c:v>1.1434268885859194E-2</c:v>
                </c:pt>
                <c:pt idx="12">
                  <c:v>1.2366176371938247E-2</c:v>
                </c:pt>
                <c:pt idx="13">
                  <c:v>1.3372857958231323E-2</c:v>
                </c:pt>
                <c:pt idx="14">
                  <c:v>1.4460108876778585E-2</c:v>
                </c:pt>
                <c:pt idx="15">
                  <c:v>1.5634137546333988E-2</c:v>
                </c:pt>
                <c:pt idx="16">
                  <c:v>1.6901588510050695E-2</c:v>
                </c:pt>
                <c:pt idx="17">
                  <c:v>1.8269565367978916E-2</c:v>
                </c:pt>
                <c:pt idx="18">
                  <c:v>1.9745653384291337E-2</c:v>
                </c:pt>
                <c:pt idx="19">
                  <c:v>2.1337941369641043E-2</c:v>
                </c:pt>
                <c:pt idx="20">
                  <c:v>2.3055042344350542E-2</c:v>
                </c:pt>
                <c:pt idx="21">
                  <c:v>2.4906112375618107E-2</c:v>
                </c:pt>
                <c:pt idx="22">
                  <c:v>2.6900866848583786E-2</c:v>
                </c:pt>
                <c:pt idx="23">
                  <c:v>2.9049593273421864E-2</c:v>
                </c:pt>
                <c:pt idx="24">
                  <c:v>3.1363159544576774E-2</c:v>
                </c:pt>
                <c:pt idx="25">
                  <c:v>3.3853016349179157E-2</c:v>
                </c:pt>
                <c:pt idx="26">
                  <c:v>3.6531192164215187E-2</c:v>
                </c:pt>
                <c:pt idx="27">
                  <c:v>3.9410278980043942E-2</c:v>
                </c:pt>
                <c:pt idx="28">
                  <c:v>4.2503406534362784E-2</c:v>
                </c:pt>
                <c:pt idx="29">
                  <c:v>4.5824202427751981E-2</c:v>
                </c:pt>
                <c:pt idx="30">
                  <c:v>4.9386735010488347E-2</c:v>
                </c:pt>
                <c:pt idx="31">
                  <c:v>5.3205435370301916E-2</c:v>
                </c:pt>
                <c:pt idx="32">
                  <c:v>5.7294994100918366E-2</c:v>
                </c:pt>
                <c:pt idx="33">
                  <c:v>6.1670227779225074E-2</c:v>
                </c:pt>
                <c:pt idx="34">
                  <c:v>6.6345909211361104E-2</c:v>
                </c:pt>
                <c:pt idx="35">
                  <c:v>7.1336554510863265E-2</c:v>
                </c:pt>
                <c:pt idx="36">
                  <c:v>7.6656158930860599E-2</c:v>
                </c:pt>
                <c:pt idx="37">
                  <c:v>8.2317872073467649E-2</c:v>
                </c:pt>
                <c:pt idx="38">
                  <c:v>8.8333601631261527E-2</c:v>
                </c:pt>
                <c:pt idx="39">
                  <c:v>9.471353317055102E-2</c:v>
                </c:pt>
                <c:pt idx="40">
                  <c:v>0.10146555164425504</c:v>
                </c:pt>
                <c:pt idx="41">
                  <c:v>0.10859454833678461</c:v>
                </c:pt>
                <c:pt idx="42">
                  <c:v>0.11610159482852934</c:v>
                </c:pt>
                <c:pt idx="43">
                  <c:v>0.12398296339053051</c:v>
                </c:pt>
                <c:pt idx="44">
                  <c:v>0.13222897109859841</c:v>
                </c:pt>
                <c:pt idx="45">
                  <c:v>0.14082262308538965</c:v>
                </c:pt>
                <c:pt idx="46">
                  <c:v>0.14973802903884434</c:v>
                </c:pt>
                <c:pt idx="47">
                  <c:v>0.15893856678616491</c:v>
                </c:pt>
                <c:pt idx="48">
                  <c:v>0.1683747683031534</c:v>
                </c:pt>
                <c:pt idx="49">
                  <c:v>0.17798190784681406</c:v>
                </c:pt>
                <c:pt idx="50">
                  <c:v>0.18767728072185838</c:v>
                </c:pt>
                <c:pt idx="51">
                  <c:v>0.19735717676719675</c:v>
                </c:pt>
                <c:pt idx="52">
                  <c:v>0.20689357826335153</c:v>
                </c:pt>
                <c:pt idx="53">
                  <c:v>0.21613065217642666</c:v>
                </c:pt>
                <c:pt idx="54">
                  <c:v>0.22488116759978038</c:v>
                </c:pt>
                <c:pt idx="55">
                  <c:v>0.23292305915294206</c:v>
                </c:pt>
                <c:pt idx="56">
                  <c:v>0.23999648579693034</c:v>
                </c:pt>
                <c:pt idx="57">
                  <c:v>0.24580191429384132</c:v>
                </c:pt>
                <c:pt idx="58">
                  <c:v>0.25</c:v>
                </c:pt>
                <c:pt idx="59">
                  <c:v>0.25419808570615871</c:v>
                </c:pt>
                <c:pt idx="60">
                  <c:v>0.25649897923961934</c:v>
                </c:pt>
                <c:pt idx="61">
                  <c:v>0.25649910472033749</c:v>
                </c:pt>
                <c:pt idx="62">
                  <c:v>0.2537730195067498</c:v>
                </c:pt>
                <c:pt idx="63">
                  <c:v>0.24789563766283221</c:v>
                </c:pt>
                <c:pt idx="64">
                  <c:v>0.2384766713090942</c:v>
                </c:pt>
                <c:pt idx="65">
                  <c:v>0.22520900118736853</c:v>
                </c:pt>
                <c:pt idx="66">
                  <c:v>0.20793032210993234</c:v>
                </c:pt>
                <c:pt idx="67">
                  <c:v>0.18669401584517317</c:v>
                </c:pt>
                <c:pt idx="68">
                  <c:v>0.16184282415386855</c:v>
                </c:pt>
              </c:numCache>
            </c:numRef>
          </c:yVal>
        </c:ser>
        <c:ser>
          <c:idx val="3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curves'!$E$5:$E$150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curves'!$F$5:$F$150</c:f>
              <c:numCache>
                <c:formatCode>General</c:formatCode>
                <c:ptCount val="146"/>
              </c:numCache>
            </c:numRef>
          </c:yVal>
        </c:ser>
        <c:ser>
          <c:idx val="4"/>
          <c:order val="4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curves'!$G$5:$G$150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curves'!$H$5:$H$150</c:f>
              <c:numCache>
                <c:formatCode>General</c:formatCode>
                <c:ptCount val="146"/>
              </c:numCache>
            </c:numRef>
          </c:yVal>
        </c:ser>
        <c:ser>
          <c:idx val="5"/>
          <c:order val="5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curves'!$I$5:$I$150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curves'!$J$5:$J$150</c:f>
              <c:numCache>
                <c:formatCode>General</c:formatCode>
                <c:ptCount val="146"/>
              </c:numCache>
            </c:numRef>
          </c:yVal>
        </c:ser>
        <c:ser>
          <c:idx val="6"/>
          <c:order val="6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curves'!$K$5:$K$150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curves'!$L$5:$L$150</c:f>
              <c:numCache>
                <c:formatCode>General</c:formatCode>
                <c:ptCount val="146"/>
              </c:numCache>
            </c:numRef>
          </c:yVal>
        </c:ser>
        <c:ser>
          <c:idx val="7"/>
          <c:order val="7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curves'!$M$5:$M$150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curves'!$N$5:$N$150</c:f>
              <c:numCache>
                <c:formatCode>General</c:formatCode>
                <c:ptCount val="146"/>
              </c:numCache>
            </c:numRef>
          </c:yVal>
        </c:ser>
        <c:ser>
          <c:idx val="8"/>
          <c:order val="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'Calculated curves'!$O$5:$O$150</c:f>
              <c:numCache>
                <c:formatCode>General</c:formatCode>
                <c:ptCount val="146"/>
              </c:numCache>
            </c:numRef>
          </c:xVal>
          <c:yVal>
            <c:numRef>
              <c:f>'Calculated curves'!$P$5:$P$150</c:f>
              <c:numCache>
                <c:formatCode>General</c:formatCode>
                <c:ptCount val="146"/>
              </c:numCache>
            </c:numRef>
          </c:yVal>
        </c:ser>
        <c:axId val="91489792"/>
        <c:axId val="91491712"/>
      </c:scatterChart>
      <c:valAx>
        <c:axId val="91489792"/>
        <c:scaling>
          <c:orientation val="minMax"/>
          <c:max val="1"/>
          <c:min val="0"/>
        </c:scaling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Component 1</a:t>
                </a:r>
              </a:p>
            </c:rich>
          </c:tx>
          <c:layout>
            <c:manualLayout>
              <c:xMode val="edge"/>
              <c:yMode val="edge"/>
              <c:x val="0.4697508896797154"/>
              <c:y val="0.945026178010471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491712"/>
        <c:crosses val="autoZero"/>
        <c:crossBetween val="midCat"/>
      </c:valAx>
      <c:valAx>
        <c:axId val="91491712"/>
        <c:scaling>
          <c:orientation val="minMax"/>
          <c:max val="1"/>
          <c:min val="0"/>
        </c:scaling>
        <c:axPos val="l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 Component 2</a:t>
                </a:r>
              </a:p>
            </c:rich>
          </c:tx>
          <c:layout>
            <c:manualLayout>
              <c:xMode val="edge"/>
              <c:yMode val="edge"/>
              <c:x val="1.0676156583629892E-2"/>
              <c:y val="0.3821989528795812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1489792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90" workbookViewId="0"/>
  </sheetViews>
  <pageMargins left="0.75" right="0.75" top="1" bottom="1" header="0.5" footer="0.5"/>
  <pageSetup orientation="landscape" horizontalDpi="300" verticalDpi="300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564880" cy="582168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B2:D19"/>
  <sheetViews>
    <sheetView showGridLines="0" tabSelected="1" workbookViewId="0"/>
  </sheetViews>
  <sheetFormatPr defaultRowHeight="12.6"/>
  <cols>
    <col min="1" max="1" width="6" customWidth="1"/>
    <col min="2" max="2" width="18.88671875" customWidth="1"/>
    <col min="3" max="3" width="1.109375" customWidth="1"/>
  </cols>
  <sheetData>
    <row r="2" spans="2:4" ht="22.8">
      <c r="B2" s="66" t="s">
        <v>39</v>
      </c>
    </row>
    <row r="4" spans="2:4">
      <c r="B4" t="s">
        <v>40</v>
      </c>
    </row>
    <row r="6" spans="2:4">
      <c r="B6" t="s">
        <v>41</v>
      </c>
      <c r="D6" t="s">
        <v>42</v>
      </c>
    </row>
    <row r="7" spans="2:4">
      <c r="D7" t="s">
        <v>61</v>
      </c>
    </row>
    <row r="8" spans="2:4">
      <c r="D8" t="s">
        <v>62</v>
      </c>
    </row>
    <row r="10" spans="2:4">
      <c r="B10" t="s">
        <v>43</v>
      </c>
      <c r="D10" t="s">
        <v>44</v>
      </c>
    </row>
    <row r="11" spans="2:4">
      <c r="D11" t="s">
        <v>45</v>
      </c>
    </row>
    <row r="13" spans="2:4">
      <c r="B13" t="s">
        <v>46</v>
      </c>
      <c r="D13" t="s">
        <v>47</v>
      </c>
    </row>
    <row r="14" spans="2:4">
      <c r="D14" t="s">
        <v>48</v>
      </c>
    </row>
    <row r="16" spans="2:4">
      <c r="B16" t="s">
        <v>49</v>
      </c>
      <c r="D16" t="s">
        <v>50</v>
      </c>
    </row>
    <row r="18" spans="2:2">
      <c r="B18" s="72" t="s">
        <v>95</v>
      </c>
    </row>
    <row r="19" spans="2:2">
      <c r="B19" t="s">
        <v>51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1612"/>
  <sheetViews>
    <sheetView showGridLines="0" zoomScaleNormal="75" workbookViewId="0"/>
  </sheetViews>
  <sheetFormatPr defaultRowHeight="12.6"/>
  <cols>
    <col min="1" max="1" width="11" customWidth="1"/>
    <col min="2" max="2" width="12.6640625" customWidth="1"/>
    <col min="3" max="3" width="12" customWidth="1"/>
    <col min="4" max="5" width="12.5546875" customWidth="1"/>
    <col min="6" max="6" width="6.88671875" customWidth="1"/>
    <col min="20" max="21" width="12" customWidth="1"/>
    <col min="23" max="23" width="9.88671875" bestFit="1" customWidth="1"/>
    <col min="24" max="24" width="11.5546875" customWidth="1"/>
    <col min="25" max="26" width="10.33203125" customWidth="1"/>
    <col min="27" max="27" width="12.33203125" customWidth="1"/>
    <col min="28" max="28" width="10.33203125" customWidth="1"/>
  </cols>
  <sheetData>
    <row r="1" spans="1:13">
      <c r="A1" t="s">
        <v>63</v>
      </c>
      <c r="F1" s="63"/>
      <c r="K1" t="s">
        <v>76</v>
      </c>
    </row>
    <row r="2" spans="1:13">
      <c r="A2" t="s">
        <v>28</v>
      </c>
      <c r="B2" t="s">
        <v>90</v>
      </c>
      <c r="K2" t="s">
        <v>77</v>
      </c>
    </row>
    <row r="3" spans="1:13">
      <c r="B3" t="s">
        <v>92</v>
      </c>
      <c r="K3" t="s">
        <v>78</v>
      </c>
    </row>
    <row r="4" spans="1:13">
      <c r="A4" s="1"/>
      <c r="B4" t="s">
        <v>65</v>
      </c>
      <c r="K4" t="s">
        <v>79</v>
      </c>
    </row>
    <row r="5" spans="1:13">
      <c r="A5" s="10"/>
      <c r="B5" t="s">
        <v>91</v>
      </c>
      <c r="C5" s="10"/>
      <c r="K5" t="s">
        <v>80</v>
      </c>
    </row>
    <row r="6" spans="1:13">
      <c r="A6" s="10"/>
      <c r="B6" t="s">
        <v>66</v>
      </c>
      <c r="C6" s="10"/>
      <c r="K6" t="s">
        <v>81</v>
      </c>
    </row>
    <row r="7" spans="1:13">
      <c r="A7" s="10"/>
      <c r="B7" s="64" t="s">
        <v>87</v>
      </c>
      <c r="C7" s="24"/>
      <c r="K7" t="s">
        <v>82</v>
      </c>
    </row>
    <row r="8" spans="1:13">
      <c r="B8" t="s">
        <v>86</v>
      </c>
      <c r="K8" t="s">
        <v>83</v>
      </c>
    </row>
    <row r="9" spans="1:13">
      <c r="B9" t="s">
        <v>88</v>
      </c>
      <c r="K9" t="s">
        <v>84</v>
      </c>
    </row>
    <row r="10" spans="1:13">
      <c r="K10" t="s">
        <v>85</v>
      </c>
    </row>
    <row r="11" spans="1:13">
      <c r="A11" s="6" t="s">
        <v>0</v>
      </c>
      <c r="B11" s="7" t="s">
        <v>35</v>
      </c>
      <c r="C11" s="7" t="s">
        <v>34</v>
      </c>
      <c r="D11" s="7" t="s">
        <v>26</v>
      </c>
      <c r="E11" s="3"/>
      <c r="F11" s="3"/>
      <c r="G11" s="3"/>
    </row>
    <row r="12" spans="1:13">
      <c r="A12" s="4">
        <v>1</v>
      </c>
      <c r="B12" s="5">
        <v>6.8798700000000004</v>
      </c>
      <c r="C12" s="5">
        <v>8.1121999999999996</v>
      </c>
      <c r="D12" s="5">
        <v>8.0809700000000007</v>
      </c>
      <c r="E12" s="2"/>
      <c r="F12" s="2"/>
      <c r="I12" t="s">
        <v>36</v>
      </c>
      <c r="L12">
        <v>0</v>
      </c>
      <c r="M12">
        <v>1</v>
      </c>
    </row>
    <row r="13" spans="1:13">
      <c r="A13" s="4">
        <v>2</v>
      </c>
      <c r="B13" s="5">
        <v>1196.76</v>
      </c>
      <c r="C13" s="5">
        <v>1592.864</v>
      </c>
      <c r="D13" s="5">
        <v>1582.271</v>
      </c>
      <c r="E13" s="2"/>
      <c r="F13" s="2"/>
      <c r="I13" t="s">
        <v>37</v>
      </c>
      <c r="L13">
        <v>1</v>
      </c>
      <c r="M13">
        <v>0</v>
      </c>
    </row>
    <row r="14" spans="1:13">
      <c r="A14" s="4">
        <v>3</v>
      </c>
      <c r="B14" s="5">
        <v>219.161</v>
      </c>
      <c r="C14" s="5">
        <v>226.184</v>
      </c>
      <c r="D14" s="5">
        <v>239.726</v>
      </c>
      <c r="E14" s="2"/>
      <c r="F14" s="2"/>
      <c r="I14" t="s">
        <v>67</v>
      </c>
      <c r="K14">
        <f>ROW(StartRow)</f>
        <v>77</v>
      </c>
    </row>
    <row r="15" spans="1:13">
      <c r="B15" s="10"/>
      <c r="C15" s="10"/>
      <c r="D15" s="10"/>
      <c r="E15" s="10"/>
      <c r="F15" s="8"/>
      <c r="G15" s="10"/>
      <c r="H15" s="10"/>
    </row>
    <row r="16" spans="1:13" ht="15.6">
      <c r="A16" t="s">
        <v>2</v>
      </c>
      <c r="B16">
        <v>-0.15</v>
      </c>
      <c r="E16" t="s">
        <v>31</v>
      </c>
      <c r="G16" s="28"/>
      <c r="H16" s="37"/>
    </row>
    <row r="18" spans="1:20" s="9" customFormat="1">
      <c r="A18" s="9" t="s">
        <v>3</v>
      </c>
      <c r="B18" s="9" t="s">
        <v>4</v>
      </c>
      <c r="C18" s="9" t="s">
        <v>5</v>
      </c>
      <c r="D18" s="9" t="s">
        <v>27</v>
      </c>
      <c r="E18" s="9" t="s">
        <v>6</v>
      </c>
      <c r="F18" s="9" t="s">
        <v>7</v>
      </c>
      <c r="G18" s="9" t="s">
        <v>8</v>
      </c>
      <c r="H18" s="9" t="s">
        <v>1</v>
      </c>
      <c r="I18" s="9" t="s">
        <v>22</v>
      </c>
      <c r="J18" s="9" t="s">
        <v>23</v>
      </c>
      <c r="K18" s="9" t="s">
        <v>24</v>
      </c>
      <c r="L18" s="9" t="s">
        <v>9</v>
      </c>
      <c r="M18" s="9" t="s">
        <v>10</v>
      </c>
      <c r="N18" s="9" t="s">
        <v>21</v>
      </c>
      <c r="O18" s="9" t="s">
        <v>11</v>
      </c>
      <c r="P18" s="9" t="s">
        <v>12</v>
      </c>
      <c r="Q18" s="9" t="s">
        <v>13</v>
      </c>
    </row>
    <row r="19" spans="1:20">
      <c r="A19" s="27">
        <f t="shared" ref="A19" si="0">A20-O20</f>
        <v>0.39472252560543725</v>
      </c>
      <c r="B19">
        <f t="shared" ref="B19" si="1">B20-P20</f>
        <v>4.8093994839913607E-3</v>
      </c>
      <c r="C19">
        <f t="shared" ref="C19" si="2">1-A19-B19</f>
        <v>0.60046807491057141</v>
      </c>
      <c r="D19">
        <v>331.06864410364165</v>
      </c>
      <c r="E19" s="31">
        <f t="shared" ref="E19" si="3">10^($B$12-$B$13/(D19-273.15+$B$14))</f>
        <v>363.64586825725746</v>
      </c>
      <c r="F19" s="31">
        <f t="shared" ref="F19" si="4">10^($C$12-$C$13/(D19-273.15+$C$14))</f>
        <v>320.29511515114001</v>
      </c>
      <c r="G19" s="31">
        <f t="shared" ref="G19" si="5">10^($D$12-$D$13/(D19-273.15+$D$14))</f>
        <v>582.09870884216309</v>
      </c>
      <c r="H19" s="31">
        <f t="shared" ref="H19" si="6">A19*I19*E19+B19*J19*F19+C19*K19*G19</f>
        <v>760.00000019606989</v>
      </c>
      <c r="I19" s="25">
        <v>2.0852415743806358</v>
      </c>
      <c r="J19" s="25">
        <v>1.1712090071241912</v>
      </c>
      <c r="K19" s="25">
        <v>1.3128477614427594</v>
      </c>
      <c r="L19" s="8">
        <f t="shared" ref="L19" si="7">E19*I19/$H19</f>
        <v>0.99774931927124766</v>
      </c>
      <c r="M19" s="8">
        <f t="shared" ref="M19" si="8">F19*J19/$H19</f>
        <v>0.49359542592909994</v>
      </c>
      <c r="N19" s="8">
        <f t="shared" ref="N19" si="9">G19*K19/$H19</f>
        <v>1.0055355087434199</v>
      </c>
      <c r="O19" s="10">
        <f t="shared" ref="O19" si="10">(L19-1)*A19*$B$16</f>
        <v>1.3325915723769153E-4</v>
      </c>
      <c r="P19">
        <f t="shared" ref="P19" si="11">(M19-1)*B19*$B$16</f>
        <v>3.6532528458411767E-4</v>
      </c>
      <c r="Q19">
        <f t="shared" ref="Q19" si="12">(N19-1)*C19*$B$16</f>
        <v>-4.9858444182179784E-4</v>
      </c>
      <c r="T19" s="9"/>
    </row>
    <row r="20" spans="1:20">
      <c r="A20" s="27">
        <f t="shared" ref="A20" si="13">A21-O21</f>
        <v>0.39486686743807287</v>
      </c>
      <c r="B20">
        <f t="shared" ref="B20" si="14">B21-P21</f>
        <v>5.2045816245440447E-3</v>
      </c>
      <c r="C20">
        <f t="shared" ref="C20" si="15">1-A20-B20</f>
        <v>0.59992855093738306</v>
      </c>
      <c r="D20">
        <v>331.07391882253819</v>
      </c>
      <c r="E20" s="31">
        <f t="shared" ref="E20" si="16">10^($B$12-$B$13/(D20-273.15+$B$14))</f>
        <v>363.71472148958884</v>
      </c>
      <c r="F20" s="31">
        <f t="shared" ref="F20" si="17">10^($C$12-$C$13/(D20-273.15+$C$14))</f>
        <v>320.37189326759324</v>
      </c>
      <c r="G20" s="31">
        <f t="shared" ref="G20" si="18">10^($D$12-$D$13/(D20-273.15+$D$14))</f>
        <v>582.22498919188672</v>
      </c>
      <c r="H20" s="31">
        <f t="shared" ref="H20" si="19">A20*I20*E20+B20*J20*F20+C20*K20*G20</f>
        <v>760.00000019551771</v>
      </c>
      <c r="I20" s="25">
        <v>2.0844575648590387</v>
      </c>
      <c r="J20" s="25">
        <v>1.1714189166273621</v>
      </c>
      <c r="K20" s="25">
        <v>1.3131633598803725</v>
      </c>
      <c r="L20" s="8">
        <f t="shared" ref="L20" si="20">E20*I20/$H20</f>
        <v>0.99756302955859288</v>
      </c>
      <c r="M20" s="8">
        <f t="shared" ref="M20" si="21">F20*J20/$H20</f>
        <v>0.49380223162214981</v>
      </c>
      <c r="N20" s="8">
        <f t="shared" ref="N20" si="22">G20*K20/$H20</f>
        <v>1.0059954247590022</v>
      </c>
      <c r="O20" s="10">
        <f t="shared" ref="O20" si="23">(L20-1)*A20*$B$16</f>
        <v>1.4434183263564083E-4</v>
      </c>
      <c r="P20">
        <f t="shared" ref="P20" si="24">(M20-1)*B20*$B$16</f>
        <v>3.9518214055268429E-4</v>
      </c>
      <c r="Q20">
        <f t="shared" ref="Q20" si="25">(N20-1)*C20*$B$16</f>
        <v>-5.3952397318834174E-4</v>
      </c>
      <c r="T20" s="9"/>
    </row>
    <row r="21" spans="1:20">
      <c r="A21" s="27">
        <f t="shared" ref="A21" si="26">A22-O22</f>
        <v>0.39502321930828438</v>
      </c>
      <c r="B21">
        <f t="shared" ref="B21" si="27">B22-P22</f>
        <v>5.6320305511488224E-3</v>
      </c>
      <c r="C21">
        <f t="shared" ref="C21" si="28">1-A21-B21</f>
        <v>0.59934475014056687</v>
      </c>
      <c r="D21">
        <v>331.079628393723</v>
      </c>
      <c r="E21" s="31">
        <f t="shared" ref="E21" si="29">10^($B$12-$B$13/(D21-273.15+$B$14))</f>
        <v>363.78926277858608</v>
      </c>
      <c r="F21" s="31">
        <f t="shared" ref="F21" si="30">10^($C$12-$C$13/(D21-273.15+$C$14))</f>
        <v>320.45501856575464</v>
      </c>
      <c r="G21" s="31">
        <f t="shared" ref="G21" si="31">10^($D$12-$D$13/(D21-273.15+$D$14))</f>
        <v>582.36170603071514</v>
      </c>
      <c r="H21" s="31">
        <f t="shared" ref="H21" si="32">A21*I21*E21+B21*J21*F21+C21*K21*G21</f>
        <v>760.0000001949229</v>
      </c>
      <c r="I21" s="25">
        <v>2.0836090273529111</v>
      </c>
      <c r="J21" s="25">
        <v>1.1716463866503211</v>
      </c>
      <c r="K21" s="25">
        <v>1.3135054303667013</v>
      </c>
      <c r="L21" s="8">
        <f t="shared" ref="L21" si="33">E21*I21/$H21</f>
        <v>0.99736130498041276</v>
      </c>
      <c r="M21" s="8">
        <f t="shared" ref="M21" si="34">F21*J21/$H21</f>
        <v>0.49402626906609332</v>
      </c>
      <c r="N21" s="8">
        <f t="shared" ref="N21" si="35">G21*K21/$H21</f>
        <v>1.0064937672536476</v>
      </c>
      <c r="O21" s="10">
        <f t="shared" ref="O21" si="36">(L21-1)*A21*$B$16</f>
        <v>1.5635187021151349E-4</v>
      </c>
      <c r="P21">
        <f t="shared" ref="P21" si="37">(M21-1)*B21*$B$16</f>
        <v>4.2744892660477753E-4</v>
      </c>
      <c r="Q21">
        <f t="shared" ref="Q21" si="38">(N21-1)*C21*$B$16</f>
        <v>-5.8380079681626118E-4</v>
      </c>
      <c r="T21" s="9"/>
    </row>
    <row r="22" spans="1:20">
      <c r="A22" s="27">
        <f t="shared" ref="A22" si="39">A23-O23</f>
        <v>0.39519258710638094</v>
      </c>
      <c r="B22">
        <f t="shared" ref="B22" si="40">B23-P23</f>
        <v>6.0943454784280855E-3</v>
      </c>
      <c r="C22">
        <f t="shared" ref="C22" si="41">1-A22-B22</f>
        <v>0.59871306741519092</v>
      </c>
      <c r="D22">
        <v>331.0858085718537</v>
      </c>
      <c r="E22" s="31">
        <f t="shared" ref="E22" si="42">10^($B$12-$B$13/(D22-273.15+$B$14))</f>
        <v>363.86996182950276</v>
      </c>
      <c r="F22" s="31">
        <f t="shared" ref="F22" si="43">10^($C$12-$C$13/(D22-273.15+$C$14))</f>
        <v>320.54501594297642</v>
      </c>
      <c r="G22" s="31">
        <f t="shared" ref="G22" si="44">10^($D$12-$D$13/(D22-273.15+$D$14))</f>
        <v>582.50972191691494</v>
      </c>
      <c r="H22" s="31">
        <f t="shared" ref="H22" si="45">A22*I22*E22+B22*J22*F22+C22*K22*G22</f>
        <v>760.00000019427944</v>
      </c>
      <c r="I22" s="25">
        <v>2.0826906778083072</v>
      </c>
      <c r="J22" s="25">
        <v>1.1718929048376483</v>
      </c>
      <c r="K22" s="25">
        <v>1.3138762272180446</v>
      </c>
      <c r="L22" s="8">
        <f t="shared" ref="L22" si="46">E22*I22/$H22</f>
        <v>0.99714286479348102</v>
      </c>
      <c r="M22" s="8">
        <f t="shared" ref="M22" si="47">F22*J22/$H22</f>
        <v>0.49426898653765605</v>
      </c>
      <c r="N22" s="8">
        <f t="shared" ref="N22" si="48">G22*K22/$H22</f>
        <v>1.0070337836241876</v>
      </c>
      <c r="O22" s="10">
        <f t="shared" ref="O22" si="49">(L22-1)*A22*$B$16</f>
        <v>1.693677980965439E-4</v>
      </c>
      <c r="P22">
        <f t="shared" ref="P22" si="50">(M22-1)*B22*$B$16</f>
        <v>4.6231492727926332E-4</v>
      </c>
      <c r="Q22">
        <f t="shared" ref="Q22" si="51">(N22-1)*C22*$B$16</f>
        <v>-6.3168272537581502E-4</v>
      </c>
      <c r="T22" s="9"/>
    </row>
    <row r="23" spans="1:20">
      <c r="A23" s="27">
        <f t="shared" ref="A23" si="52">A24-O24</f>
        <v>0.39537606205202686</v>
      </c>
      <c r="B23">
        <f t="shared" ref="B23" si="53">B24-P24</f>
        <v>6.5943288543570807E-3</v>
      </c>
      <c r="C23">
        <f t="shared" ref="C23" si="54">1-A23-B23</f>
        <v>0.59802960909361613</v>
      </c>
      <c r="D23">
        <v>331.09249803517355</v>
      </c>
      <c r="E23" s="31">
        <f t="shared" ref="E23" si="55">10^($B$12-$B$13/(D23-273.15+$B$14))</f>
        <v>363.95732710194818</v>
      </c>
      <c r="F23" s="31">
        <f t="shared" ref="F23" si="56">10^($C$12-$C$13/(D23-273.15+$C$14))</f>
        <v>320.64245373589091</v>
      </c>
      <c r="G23" s="31">
        <f t="shared" ref="G23" si="57">10^($D$12-$D$13/(D23-273.15+$D$14))</f>
        <v>582.66997070361344</v>
      </c>
      <c r="H23" s="31">
        <f t="shared" ref="H23" si="58">A23*I23*E23+B23*J23*F23+C23*K23*G23</f>
        <v>760.00000019358458</v>
      </c>
      <c r="I23" s="25">
        <v>2.0816968043842086</v>
      </c>
      <c r="J23" s="25">
        <v>1.1721600880600904</v>
      </c>
      <c r="K23" s="25">
        <v>1.31427820249469</v>
      </c>
      <c r="L23" s="8">
        <f t="shared" ref="L23" si="59">E23*I23/$H23</f>
        <v>0.99690632179915517</v>
      </c>
      <c r="M23" s="8">
        <f t="shared" ref="M23" si="60">F23*J23/$H23</f>
        <v>0.49453195619885731</v>
      </c>
      <c r="N23" s="8">
        <f t="shared" ref="N23" si="61">G23*K23/$H23</f>
        <v>1.0076190020380515</v>
      </c>
      <c r="O23" s="10">
        <f t="shared" ref="O23" si="62">(L23-1)*A23*$B$16</f>
        <v>1.8347494564593421E-4</v>
      </c>
      <c r="P23">
        <f t="shared" ref="P23" si="63">(M23-1)*B23*$B$16</f>
        <v>4.9998337592899557E-4</v>
      </c>
      <c r="Q23">
        <f t="shared" ref="Q23" si="64">(N23-1)*C23*$B$16</f>
        <v>-6.8345832157491477E-4</v>
      </c>
      <c r="T23" s="9"/>
    </row>
    <row r="24" spans="1:20">
      <c r="A24" s="27">
        <f t="shared" ref="A24" si="65">A25-O25</f>
        <v>0.39557482810876526</v>
      </c>
      <c r="B24">
        <f t="shared" ref="B24" si="66">B25-P25</f>
        <v>7.1350011719144594E-3</v>
      </c>
      <c r="C24">
        <f t="shared" ref="C24" si="67">1-A24-B24</f>
        <v>0.59729017071932033</v>
      </c>
      <c r="D24">
        <v>331.09973862178828</v>
      </c>
      <c r="E24" s="31">
        <f t="shared" ref="E24" si="68">10^($B$12-$B$13/(D24-273.15+$B$14))</f>
        <v>364.05190900190274</v>
      </c>
      <c r="F24" s="31">
        <f t="shared" ref="F24" si="69">10^($C$12-$C$13/(D24-273.15+$C$14))</f>
        <v>320.74794732081455</v>
      </c>
      <c r="G24" s="31">
        <f t="shared" ref="G24" si="70">10^($D$12-$D$13/(D24-273.15+$D$14))</f>
        <v>582.84346343283983</v>
      </c>
      <c r="H24" s="31">
        <f t="shared" ref="H24" si="71">A24*I24*E24+B24*J24*F24+C24*K24*G24</f>
        <v>760.00000019283857</v>
      </c>
      <c r="I24" s="25">
        <v>2.0806212337221583</v>
      </c>
      <c r="J24" s="25">
        <v>1.1724496941933875</v>
      </c>
      <c r="K24" s="25">
        <v>1.3147140243245417</v>
      </c>
      <c r="L24" s="8">
        <f t="shared" ref="L24" si="72">E24*I24/$H24</f>
        <v>0.99665017349243845</v>
      </c>
      <c r="M24" s="8">
        <f t="shared" ref="M24" si="73">F24*J24/$H24</f>
        <v>0.4948168850710869</v>
      </c>
      <c r="N24" s="8">
        <f t="shared" ref="N24" si="74">G24*K24/$H24</f>
        <v>1.0082532567981743</v>
      </c>
      <c r="O24" s="10">
        <f t="shared" ref="O24" si="75">(L24-1)*A24*$B$16</f>
        <v>1.9876605673842674E-4</v>
      </c>
      <c r="P24">
        <f t="shared" ref="P24" si="76">(M24-1)*B24*$B$16</f>
        <v>5.4067231755737879E-4</v>
      </c>
      <c r="Q24">
        <f t="shared" ref="Q24" si="77">(N24-1)*C24*$B$16</f>
        <v>-7.3943837429579198E-4</v>
      </c>
      <c r="T24" s="9"/>
    </row>
    <row r="25" spans="1:20">
      <c r="A25" s="27">
        <f t="shared" ref="A25" si="78">A26-O26</f>
        <v>0.39579017007088263</v>
      </c>
      <c r="B25">
        <f t="shared" ref="B25" si="79">B26-P26</f>
        <v>7.7196166654232082E-3</v>
      </c>
      <c r="C25">
        <f t="shared" ref="C25" si="80">1-A25-B25</f>
        <v>0.59649021326369422</v>
      </c>
      <c r="D25">
        <v>331.10757558456328</v>
      </c>
      <c r="E25" s="31">
        <f t="shared" ref="E25" si="81">10^($B$12-$B$13/(D25-273.15+$B$14))</f>
        <v>364.15430333571811</v>
      </c>
      <c r="F25" s="31">
        <f t="shared" ref="F25" si="82">10^($C$12-$C$13/(D25-273.15+$C$14))</f>
        <v>320.86216301351521</v>
      </c>
      <c r="G25" s="31">
        <f t="shared" ref="G25" si="83">10^($D$12-$D$13/(D25-273.15+$D$14))</f>
        <v>583.03129471705131</v>
      </c>
      <c r="H25" s="31">
        <f t="shared" ref="H25" si="84">A25*I25*E25+B25*J25*F25+C25*K25*G25</f>
        <v>760.00000019203367</v>
      </c>
      <c r="I25" s="25">
        <v>2.0794572947250658</v>
      </c>
      <c r="J25" s="25">
        <v>1.1727636350662185</v>
      </c>
      <c r="K25" s="25">
        <v>1.3151865970879033</v>
      </c>
      <c r="L25" s="8">
        <f t="shared" ref="L25" si="85">E25*I25/$H25</f>
        <v>0.99637279248111355</v>
      </c>
      <c r="M25" s="8">
        <f t="shared" ref="M25" si="86">F25*J25/$H25</f>
        <v>0.49512562704718277</v>
      </c>
      <c r="N25" s="8">
        <f t="shared" ref="N25" si="87">G25*K25/$H25</f>
        <v>1.0089407161854245</v>
      </c>
      <c r="O25" s="10">
        <f t="shared" ref="O25" si="88">(L25-1)*A25*$B$16</f>
        <v>2.1534196211736811E-4</v>
      </c>
      <c r="P25">
        <f t="shared" ref="P25" si="89">(M25-1)*B25*$B$16</f>
        <v>5.8461549350874898E-4</v>
      </c>
      <c r="Q25">
        <f t="shared" ref="Q25" si="90">(N25-1)*C25*$B$16</f>
        <v>-7.9995745562610055E-4</v>
      </c>
      <c r="T25" s="9"/>
    </row>
    <row r="26" spans="1:20">
      <c r="A26" s="27">
        <f t="shared" ref="A26" si="91">A27-O27</f>
        <v>0.39602348238787977</v>
      </c>
      <c r="B26">
        <f t="shared" ref="B26" si="92">B27-P27</f>
        <v>8.3516799068499778E-3</v>
      </c>
      <c r="C26">
        <f t="shared" ref="C26" si="93">1-A26-B26</f>
        <v>0.5956248377052703</v>
      </c>
      <c r="D26">
        <v>331.11605786602826</v>
      </c>
      <c r="E26" s="31">
        <f t="shared" ref="E26" si="94">10^($B$12-$B$13/(D26-273.15+$B$14))</f>
        <v>364.26515504745493</v>
      </c>
      <c r="F26" s="31">
        <f t="shared" ref="F26" si="95">10^($C$12-$C$13/(D26-273.15+$C$14))</f>
        <v>320.98582229344186</v>
      </c>
      <c r="G26" s="31">
        <f t="shared" ref="G26" si="96">10^($D$12-$D$13/(D26-273.15+$D$14))</f>
        <v>583.23464964855884</v>
      </c>
      <c r="H26" s="31">
        <f t="shared" ref="H26" si="97">A26*I26*E26+B26*J26*F26+C26*K26*G26</f>
        <v>760.00000019116465</v>
      </c>
      <c r="I26" s="25">
        <v>2.0781977796938733</v>
      </c>
      <c r="J26" s="25">
        <v>1.1731039907095855</v>
      </c>
      <c r="K26" s="25">
        <v>1.3156990836788562</v>
      </c>
      <c r="L26" s="8">
        <f t="shared" ref="L26" si="98">E26*I26/$H26</f>
        <v>0.99607241611717301</v>
      </c>
      <c r="M26" s="8">
        <f t="shared" ref="M26" si="99">F26*J26/$H26</f>
        <v>0.49546019605121056</v>
      </c>
      <c r="N26" s="8">
        <f t="shared" ref="N26" si="100">G26*K26/$H26</f>
        <v>1.0096859130517781</v>
      </c>
      <c r="O26" s="10">
        <f t="shared" ref="O26" si="101">(L26-1)*A26*$B$16</f>
        <v>2.3331231699714826E-4</v>
      </c>
      <c r="P26">
        <f t="shared" ref="P26" si="102">(M26-1)*B26*$B$16</f>
        <v>6.3206324142676962E-4</v>
      </c>
      <c r="Q26">
        <f t="shared" ref="Q26" si="103">(N26-1)*C26*$B$16</f>
        <v>-8.6537555842390601E-4</v>
      </c>
      <c r="T26" s="9"/>
    </row>
    <row r="27" spans="1:20">
      <c r="A27" s="27">
        <f t="shared" ref="A27" si="104">A28-O28</f>
        <v>0.3962762787987526</v>
      </c>
      <c r="B27">
        <f t="shared" ref="B27" si="105">B28-P28</f>
        <v>9.0349633087883768E-3</v>
      </c>
      <c r="C27">
        <f t="shared" ref="C27" si="106">1-A27-B27</f>
        <v>0.59468875789245901</v>
      </c>
      <c r="D27">
        <v>331.12523839476381</v>
      </c>
      <c r="E27" s="31">
        <f t="shared" ref="E27" si="107">10^($B$12-$B$13/(D27-273.15+$B$14))</f>
        <v>364.38516226262993</v>
      </c>
      <c r="F27" s="31">
        <f t="shared" ref="F27" si="108">10^($C$12-$C$13/(D27-273.15+$C$14))</f>
        <v>321.11970637953806</v>
      </c>
      <c r="G27" s="31">
        <f t="shared" ref="G27" si="109">10^($D$12-$D$13/(D27-273.15+$D$14))</f>
        <v>583.45481128053075</v>
      </c>
      <c r="H27" s="31">
        <f t="shared" ref="H27" si="110">A27*I27*E27+B27*J27*F27+C27*K27*G27</f>
        <v>760.00000019022809</v>
      </c>
      <c r="I27" s="25">
        <v>2.0768349026685184</v>
      </c>
      <c r="J27" s="25">
        <v>1.1734730250575116</v>
      </c>
      <c r="K27" s="25">
        <v>1.3162549300875894</v>
      </c>
      <c r="L27" s="8">
        <f t="shared" ref="L27" si="111">E27*I27/$H27</f>
        <v>0.9957471352791345</v>
      </c>
      <c r="M27" s="8">
        <f t="shared" ref="M27" si="112">F27*J27/$H27</f>
        <v>0.49582278046902239</v>
      </c>
      <c r="N27" s="8">
        <f t="shared" ref="N27" si="113">G27*K27/$H27</f>
        <v>1.0104937784724979</v>
      </c>
      <c r="O27" s="10">
        <f t="shared" ref="O27" si="114">(L27-1)*A27*$B$16</f>
        <v>2.5279641087286146E-4</v>
      </c>
      <c r="P27">
        <f t="shared" ref="P27" si="115">(M27-1)*B27*$B$16</f>
        <v>6.8328340193839871E-4</v>
      </c>
      <c r="Q27">
        <f t="shared" ref="Q27" si="116">(N27-1)*C27*$B$16</f>
        <v>-9.3607981281125876E-4</v>
      </c>
      <c r="T27" s="9"/>
    </row>
    <row r="28" spans="1:20">
      <c r="A28" s="27">
        <f t="shared" ref="A28" si="117">A29-O29</f>
        <v>0.39655020285604464</v>
      </c>
      <c r="B28">
        <f t="shared" ref="B28" si="118">B29-P29</f>
        <v>9.7735255299558309E-3</v>
      </c>
      <c r="C28">
        <f t="shared" ref="C28" si="119">1-A28-B28</f>
        <v>0.59367627161399961</v>
      </c>
      <c r="D28">
        <v>331.13517440483838</v>
      </c>
      <c r="E28" s="31">
        <f t="shared" ref="E28" si="120">10^($B$12-$B$13/(D28-273.15+$B$14))</f>
        <v>364.51508066327506</v>
      </c>
      <c r="F28" s="31">
        <f t="shared" ref="F28" si="121">10^($C$12-$C$13/(D28-273.15+$C$14))</f>
        <v>321.26466118720504</v>
      </c>
      <c r="G28" s="31">
        <f t="shared" ref="G28" si="122">10^($D$12-$D$13/(D28-273.15+$D$14))</f>
        <v>583.69316872696436</v>
      </c>
      <c r="H28" s="31">
        <f t="shared" ref="H28" si="123">A28*I28*E28+B28*J28*F28+C28*K28*G28</f>
        <v>760.00000018921969</v>
      </c>
      <c r="I28" s="25">
        <v>2.0753602548188996</v>
      </c>
      <c r="J28" s="25">
        <v>1.1738732032693693</v>
      </c>
      <c r="K28" s="25">
        <v>1.3168578925815178</v>
      </c>
      <c r="L28" s="8">
        <f t="shared" ref="L28" si="124">E28*I28/$H28</f>
        <v>0.99539488223989203</v>
      </c>
      <c r="M28" s="8">
        <f t="shared" ref="M28" si="125">F28*J28/$H28</f>
        <v>0.49621575898839371</v>
      </c>
      <c r="N28" s="8">
        <f t="shared" ref="N28" si="126">G28*K28/$H28</f>
        <v>1.0113696788061151</v>
      </c>
      <c r="O28" s="10">
        <f t="shared" ref="O28" si="127">(L28-1)*A28*$B$16</f>
        <v>2.7392405729201834E-4</v>
      </c>
      <c r="P28">
        <f t="shared" ref="P28" si="128">(M28-1)*B28*$B$16</f>
        <v>7.3856222116745328E-4</v>
      </c>
      <c r="Q28">
        <f t="shared" ref="Q28" si="129">(N28-1)*C28*$B$16</f>
        <v>-1.0124862784594646E-3</v>
      </c>
      <c r="T28" s="9"/>
    </row>
    <row r="29" spans="1:20">
      <c r="A29" s="27">
        <f t="shared" ref="A29" si="130">A30-O30</f>
        <v>0.39684703942829763</v>
      </c>
      <c r="B29">
        <f t="shared" ref="B29" si="131">B30-P30</f>
        <v>1.0571730765317032E-2</v>
      </c>
      <c r="C29">
        <f t="shared" ref="C29" si="132">1-A29-B29</f>
        <v>0.59258122980638528</v>
      </c>
      <c r="D29">
        <v>331.14592777995807</v>
      </c>
      <c r="E29" s="31">
        <f t="shared" ref="E29" si="133">10^($B$12-$B$13/(D29-273.15+$B$14))</f>
        <v>364.65572822123085</v>
      </c>
      <c r="F29" s="31">
        <f t="shared" ref="F29" si="134">10^($C$12-$C$13/(D29-273.15+$C$14))</f>
        <v>321.42160269838996</v>
      </c>
      <c r="G29" s="31">
        <f t="shared" ref="G29" si="135">10^($D$12-$D$13/(D29-273.15+$D$14))</f>
        <v>583.95122593291057</v>
      </c>
      <c r="H29" s="31">
        <f t="shared" ref="H29" si="136">A29*I29*E29+B29*J29*F29+C29*K29*G29</f>
        <v>760.00000018813125</v>
      </c>
      <c r="I29" s="25">
        <v>2.0737647567332198</v>
      </c>
      <c r="J29" s="25">
        <v>1.1743072108677892</v>
      </c>
      <c r="K29" s="25">
        <v>1.3175120678016852</v>
      </c>
      <c r="L29" s="8">
        <f t="shared" ref="L29" si="137">E29*I29/$H29</f>
        <v>0.99501341755116157</v>
      </c>
      <c r="M29" s="8">
        <f t="shared" ref="M29" si="138">F29*J29/$H29</f>
        <v>0.49664171800521995</v>
      </c>
      <c r="N29" s="8">
        <f t="shared" ref="N29" si="139">G29*K29/$H29</f>
        <v>1.0123194565575646</v>
      </c>
      <c r="O29" s="10">
        <f t="shared" ref="O29" si="140">(L29-1)*A29*$B$16</f>
        <v>2.968365722529961E-4</v>
      </c>
      <c r="P29">
        <f t="shared" ref="P29" si="141">(M29-1)*B29*$B$16</f>
        <v>7.982052353612013E-4</v>
      </c>
      <c r="Q29">
        <f t="shared" ref="Q29" si="142">(N29-1)*C29*$B$16</f>
        <v>-1.0950418076141964E-3</v>
      </c>
      <c r="T29" s="9"/>
    </row>
    <row r="30" spans="1:20">
      <c r="A30" s="27">
        <f t="shared" ref="A30" si="143">A31-O31</f>
        <v>0.39716872727922387</v>
      </c>
      <c r="B30">
        <f t="shared" ref="B30" si="144">B31-P31</f>
        <v>1.1434268885859192E-2</v>
      </c>
      <c r="C30">
        <f t="shared" ref="C30" si="145">1-A30-B30</f>
        <v>0.59139700383491689</v>
      </c>
      <c r="D30">
        <v>331.1575654240915</v>
      </c>
      <c r="E30" s="31">
        <f t="shared" ref="E30" si="146">10^($B$12-$B$13/(D30-273.15+$B$14))</f>
        <v>364.80799031873539</v>
      </c>
      <c r="F30" s="31">
        <f t="shared" ref="F30" si="147">10^($C$12-$C$13/(D30-273.15+$C$14))</f>
        <v>321.59152277958015</v>
      </c>
      <c r="G30" s="31">
        <f t="shared" ref="G30" si="148">10^($D$12-$D$13/(D30-273.15+$D$14))</f>
        <v>584.23061117055158</v>
      </c>
      <c r="H30" s="31">
        <f t="shared" ref="H30" si="149">A30*I30*E30+B30*J30*F30+C30*K30*G30</f>
        <v>760.0000001869638</v>
      </c>
      <c r="I30" s="25">
        <v>2.0720386074554327</v>
      </c>
      <c r="J30" s="25">
        <v>1.1747779749135572</v>
      </c>
      <c r="K30" s="25">
        <v>1.3182219261357875</v>
      </c>
      <c r="L30" s="8">
        <f t="shared" ref="L30" si="150">E30*I30/$H30</f>
        <v>0.99460031587196474</v>
      </c>
      <c r="M30" s="8">
        <f t="shared" ref="M30" si="151">F30*J30/$H30</f>
        <v>0.49710347077292355</v>
      </c>
      <c r="N30" s="8">
        <f t="shared" ref="N30" si="152">G30*K30/$H30</f>
        <v>1.0133494754937804</v>
      </c>
      <c r="O30" s="10">
        <f t="shared" ref="O30" si="153">(L30-1)*A30*$B$16</f>
        <v>3.2168785092623878E-4</v>
      </c>
      <c r="P30">
        <f t="shared" ref="P30" si="154">(M30-1)*B30*$B$16</f>
        <v>8.625381205421606E-4</v>
      </c>
      <c r="Q30">
        <f t="shared" ref="Q30" si="155">(N30-1)*C30*$B$16</f>
        <v>-1.1842259714684067E-3</v>
      </c>
      <c r="T30" s="9"/>
    </row>
    <row r="31" spans="1:20">
      <c r="A31" s="27">
        <f t="shared" ref="A31" si="156">A32-O32</f>
        <v>0.39751737283277255</v>
      </c>
      <c r="B31">
        <f t="shared" ref="B31" si="157">B32-P32</f>
        <v>1.2366176371938244E-2</v>
      </c>
      <c r="C31">
        <f t="shared" ref="C31" si="158">1-A31-B31</f>
        <v>0.59011645079528918</v>
      </c>
      <c r="D31">
        <v>331.17015966042732</v>
      </c>
      <c r="E31" s="31">
        <f t="shared" ref="E31" si="159">10^($B$12-$B$13/(D31-273.15+$B$14))</f>
        <v>364.97282528765817</v>
      </c>
      <c r="F31" s="31">
        <f t="shared" ref="F31" si="160">10^($C$12-$C$13/(D31-273.15+$C$14))</f>
        <v>321.77549548542896</v>
      </c>
      <c r="G31" s="31">
        <f t="shared" ref="G31" si="161">10^($D$12-$D$13/(D31-273.15+$D$14))</f>
        <v>584.53308732130063</v>
      </c>
      <c r="H31" s="31">
        <f t="shared" ref="H31" si="162">A31*I31*E31+B31*J31*F31+C31*K31*G31</f>
        <v>760.0000001857029</v>
      </c>
      <c r="I31" s="25">
        <v>2.0701712301314461</v>
      </c>
      <c r="J31" s="25">
        <v>1.1752886874710013</v>
      </c>
      <c r="K31" s="25">
        <v>1.318992348781272</v>
      </c>
      <c r="L31" s="8">
        <f t="shared" ref="L31" si="163">E31*I31/$H31</f>
        <v>0.99415295066537313</v>
      </c>
      <c r="M31" s="8">
        <f t="shared" ref="M31" si="164">F31*J31/$H31</f>
        <v>0.49760407849604527</v>
      </c>
      <c r="N31" s="8">
        <f t="shared" ref="N31" si="165">G31*K31/$H31</f>
        <v>1.0144666705235543</v>
      </c>
      <c r="O31" s="10">
        <f t="shared" ref="O31" si="166">(L31-1)*A31*$B$16</f>
        <v>3.486455535486729E-4</v>
      </c>
      <c r="P31">
        <f t="shared" ref="P31" si="167">(M31-1)*B31*$B$16</f>
        <v>9.3190748607905184E-4</v>
      </c>
      <c r="Q31">
        <f t="shared" ref="Q31" si="168">(N31-1)*C31*$B$16</f>
        <v>-1.2805530396277059E-3</v>
      </c>
      <c r="T31" s="9"/>
    </row>
    <row r="32" spans="1:20">
      <c r="A32" s="27">
        <f t="shared" ref="A32" si="169">A33-O33</f>
        <v>0.39789526524540719</v>
      </c>
      <c r="B32">
        <f t="shared" ref="B32" si="170">B33-P33</f>
        <v>1.3372857958231319E-2</v>
      </c>
      <c r="C32">
        <f t="shared" ref="C32" si="171">1-A32-B32</f>
        <v>0.58873187679636152</v>
      </c>
      <c r="D32">
        <v>331.18378866062841</v>
      </c>
      <c r="E32" s="31">
        <f t="shared" ref="E32" si="172">10^($B$12-$B$13/(D32-273.15+$B$14))</f>
        <v>365.15127040130079</v>
      </c>
      <c r="F32" s="31">
        <f t="shared" ref="F32" si="173">10^($C$12-$C$13/(D32-273.15+$C$14))</f>
        <v>321.9746838890407</v>
      </c>
      <c r="G32" s="31">
        <f t="shared" ref="G32" si="174">10^($D$12-$D$13/(D32-273.15+$D$14))</f>
        <v>584.86056300923724</v>
      </c>
      <c r="H32" s="31">
        <f t="shared" ref="H32" si="175">A32*I32*E32+B32*J32*F32+C32*K32*G32</f>
        <v>760.00000018435344</v>
      </c>
      <c r="I32" s="25">
        <v>2.0681512141362814</v>
      </c>
      <c r="J32" s="25">
        <v>1.1758428316547733</v>
      </c>
      <c r="K32" s="25">
        <v>1.3198286689725613</v>
      </c>
      <c r="L32" s="8">
        <f t="shared" ref="L32" si="176">E32*I32/$H32</f>
        <v>0.9936684776850917</v>
      </c>
      <c r="M32" s="8">
        <f t="shared" ref="M32" si="177">F32*J32/$H32</f>
        <v>0.4981468735965856</v>
      </c>
      <c r="N32" s="8">
        <f t="shared" ref="N32" si="178">G32*K32/$H32</f>
        <v>1.0156786029260272</v>
      </c>
      <c r="O32" s="10">
        <f t="shared" ref="O32" si="179">(L32-1)*A32*$B$16</f>
        <v>3.7789241263464787E-4</v>
      </c>
      <c r="P32">
        <f t="shared" ref="P32" si="180">(M32-1)*B32*$B$16</f>
        <v>1.0066815862930752E-3</v>
      </c>
      <c r="Q32">
        <f t="shared" ref="Q32" si="181">(N32-1)*C32*$B$16</f>
        <v>-1.3845739989277364E-3</v>
      </c>
      <c r="T32" s="9"/>
    </row>
    <row r="33" spans="1:20">
      <c r="A33" s="27">
        <f t="shared" ref="A33" si="182">A34-O34</f>
        <v>0.39830489292051391</v>
      </c>
      <c r="B33">
        <f t="shared" ref="B33" si="183">B34-P34</f>
        <v>1.4460108876778587E-2</v>
      </c>
      <c r="C33">
        <f t="shared" ref="C33" si="184">1-A33-B33</f>
        <v>0.58723499820270741</v>
      </c>
      <c r="D33">
        <v>331.19853690643868</v>
      </c>
      <c r="E33" s="31">
        <f t="shared" ref="E33" si="185">10^($B$12-$B$13/(D33-273.15+$B$14))</f>
        <v>365.34444835525187</v>
      </c>
      <c r="F33" s="31">
        <f t="shared" ref="F33" si="186">10^($C$12-$C$13/(D33-273.15+$C$14))</f>
        <v>322.19034748338527</v>
      </c>
      <c r="G33" s="31">
        <f t="shared" ref="G33" si="187">10^($D$12-$D$13/(D33-273.15+$D$14))</f>
        <v>585.21510465647032</v>
      </c>
      <c r="H33" s="31">
        <f t="shared" ref="H33" si="188">A33*I33*E33+B33*J33*F33+C33*K33*G33</f>
        <v>760.00000018289802</v>
      </c>
      <c r="I33" s="25">
        <v>2.0659662535722729</v>
      </c>
      <c r="J33" s="25">
        <v>1.1764442105928226</v>
      </c>
      <c r="K33" s="25">
        <v>1.3207367179172413</v>
      </c>
      <c r="L33" s="8">
        <f t="shared" ref="L33" si="189">E33*I33/$H33</f>
        <v>0.99314381717142686</v>
      </c>
      <c r="M33" s="8">
        <f t="shared" ref="M33" si="190">F33*J33/$H33</f>
        <v>0.49873548541381668</v>
      </c>
      <c r="N33" s="8">
        <f t="shared" ref="N33" si="191">G33*K33/$H33</f>
        <v>1.0169935215968098</v>
      </c>
      <c r="O33" s="10">
        <f t="shared" ref="O33" si="192">(L33-1)*A33*$B$16</f>
        <v>4.0962767510674381E-4</v>
      </c>
      <c r="P33">
        <f t="shared" ref="P33" si="193">(M33-1)*B33*$B$16</f>
        <v>1.0872509185472668E-3</v>
      </c>
      <c r="Q33">
        <f t="shared" ref="Q33" si="194">(N33-1)*C33*$B$16</f>
        <v>-1.496878593654039E-3</v>
      </c>
      <c r="T33" s="9"/>
    </row>
    <row r="34" spans="1:20">
      <c r="A34" s="27">
        <f t="shared" ref="A34" si="195">A35-O35</f>
        <v>0.39874896161509266</v>
      </c>
      <c r="B34">
        <f t="shared" ref="B34" si="196">B35-P35</f>
        <v>1.5634137546333988E-2</v>
      </c>
      <c r="C34">
        <f t="shared" ref="C34" si="197">1-A34-B34</f>
        <v>0.58561690083857332</v>
      </c>
      <c r="D34">
        <v>331.21449568580698</v>
      </c>
      <c r="E34" s="31">
        <f t="shared" ref="E34" si="198">10^($B$12-$B$13/(D34-273.15+$B$14))</f>
        <v>365.55357427682452</v>
      </c>
      <c r="F34" s="31">
        <f t="shared" ref="F34" si="199">10^($C$12-$C$13/(D34-273.15+$C$14))</f>
        <v>322.42385020233934</v>
      </c>
      <c r="G34" s="31">
        <f t="shared" ref="G34" si="200">10^($D$12-$D$13/(D34-273.15+$D$14))</f>
        <v>585.59894953719026</v>
      </c>
      <c r="H34" s="31">
        <f t="shared" ref="H34" si="201">A34*I34*E34+B34*J34*F34+C34*K34*G34</f>
        <v>760.00000018133937</v>
      </c>
      <c r="I34" s="25">
        <v>2.0636030820532949</v>
      </c>
      <c r="J34" s="25">
        <v>1.1770969796919106</v>
      </c>
      <c r="K34" s="25">
        <v>1.3217228760687072</v>
      </c>
      <c r="L34" s="8">
        <f t="shared" ref="L34" si="202">E34*I34/$H34</f>
        <v>0.99257563467534216</v>
      </c>
      <c r="M34" s="8">
        <f t="shared" ref="M34" si="203">F34*J34/$H34</f>
        <v>0.49937386863586125</v>
      </c>
      <c r="N34" s="8">
        <f t="shared" ref="N34" si="204">G34*K34/$H34</f>
        <v>1.018420431079512</v>
      </c>
      <c r="O34" s="10">
        <f t="shared" ref="O34" si="205">(L34-1)*A34*$B$16</f>
        <v>4.4406869457876239E-4</v>
      </c>
      <c r="P34">
        <f t="shared" ref="P34" si="206">(M34-1)*B34*$B$16</f>
        <v>1.1740286695554017E-3</v>
      </c>
      <c r="Q34">
        <f t="shared" ref="Q34" si="207">(N34-1)*C34*$B$16</f>
        <v>-1.6180973641341501E-3</v>
      </c>
      <c r="T34" s="9"/>
    </row>
    <row r="35" spans="1:20">
      <c r="A35" s="27">
        <f t="shared" ref="A35" si="208">A36-O36</f>
        <v>0.39923041430594269</v>
      </c>
      <c r="B35">
        <f t="shared" ref="B35" si="209">B36-P36</f>
        <v>1.6901588510050695E-2</v>
      </c>
      <c r="C35">
        <f t="shared" ref="C35" si="210">1-A35-B35</f>
        <v>0.58386799718400662</v>
      </c>
      <c r="D35">
        <v>331.23176362577783</v>
      </c>
      <c r="E35" s="31">
        <f t="shared" ref="E35" si="211">10^($B$12-$B$13/(D35-273.15+$B$14))</f>
        <v>365.77996330556863</v>
      </c>
      <c r="F35" s="31">
        <f t="shared" ref="F35" si="212">10^($C$12-$C$13/(D35-273.15+$C$14))</f>
        <v>322.67666911387619</v>
      </c>
      <c r="G35" s="31">
        <f t="shared" ref="G35" si="213">10^($D$12-$D$13/(D35-273.15+$D$14))</f>
        <v>586.01451991333022</v>
      </c>
      <c r="H35" s="31">
        <f t="shared" ref="H35" si="214">A35*I35*E35+B35*J35*F35+C35*K35*G35</f>
        <v>760.00000017966386</v>
      </c>
      <c r="I35" s="25">
        <v>2.0610474037232471</v>
      </c>
      <c r="J35" s="25">
        <v>1.1778056826526804</v>
      </c>
      <c r="K35" s="25">
        <v>1.3227941304597051</v>
      </c>
      <c r="L35" s="8">
        <f t="shared" ref="L35" si="215">E35*I35/$H35</f>
        <v>0.99196032042987825</v>
      </c>
      <c r="M35" s="8">
        <f t="shared" ref="M35" si="216">F35*J35/$H35</f>
        <v>0.5000663348051555</v>
      </c>
      <c r="N35" s="8">
        <f t="shared" ref="N35" si="217">G35*K35/$H35</f>
        <v>1.0199691672661362</v>
      </c>
      <c r="O35" s="10">
        <f t="shared" ref="O35" si="218">(L35-1)*A35*$B$16</f>
        <v>4.8145269085000941E-4</v>
      </c>
      <c r="P35">
        <f t="shared" ref="P35" si="219">(M35-1)*B35*$B$16</f>
        <v>1.2674509637167072E-3</v>
      </c>
      <c r="Q35">
        <f t="shared" ref="Q35" si="220">(N35-1)*C35*$B$16</f>
        <v>-1.7489036545667031E-3</v>
      </c>
      <c r="T35" s="9"/>
    </row>
    <row r="36" spans="1:20">
      <c r="A36" s="27">
        <f t="shared" ref="A36" si="221">A37-O37</f>
        <v>0.39975245300165418</v>
      </c>
      <c r="B36">
        <f t="shared" ref="B36" si="222">B37-P37</f>
        <v>1.8269565367978913E-2</v>
      </c>
      <c r="C36">
        <f t="shared" ref="C36" si="223">1-A36-B36</f>
        <v>0.58197798163036696</v>
      </c>
      <c r="D36">
        <v>331.25044726449943</v>
      </c>
      <c r="E36" s="31">
        <f t="shared" ref="E36" si="224">10^($B$12-$B$13/(D36-273.15+$B$14))</f>
        <v>366.02503879085009</v>
      </c>
      <c r="F36" s="31">
        <f t="shared" ref="F36" si="225">10^($C$12-$C$13/(D36-273.15+$C$14))</f>
        <v>322.95040384273523</v>
      </c>
      <c r="G36" s="31">
        <f t="shared" ref="G36" si="226">10^($D$12-$D$13/(D36-273.15+$D$14))</f>
        <v>586.46443834202432</v>
      </c>
      <c r="H36" s="31">
        <f t="shared" ref="H36" si="227">A36*I36*E36+B36*J36*F36+C36*K36*G36</f>
        <v>760.00000017786681</v>
      </c>
      <c r="I36" s="25">
        <v>2.0582838205005407</v>
      </c>
      <c r="J36" s="25">
        <v>1.1785752917529917</v>
      </c>
      <c r="K36" s="25">
        <v>1.3239581389348924</v>
      </c>
      <c r="L36" s="8">
        <f t="shared" ref="L36" si="228">E36*I36/$H36</f>
        <v>0.99129396719075158</v>
      </c>
      <c r="M36" s="8">
        <f t="shared" ref="M36" si="229">F36*J36/$H36</f>
        <v>0.50081758729160442</v>
      </c>
      <c r="N36" s="8">
        <f t="shared" ref="N36" si="230">G36*K36/$H36</f>
        <v>1.0216504817856393</v>
      </c>
      <c r="O36" s="10">
        <f t="shared" ref="O36" si="231">(L36-1)*A36*$B$16</f>
        <v>5.2203869571149075E-4</v>
      </c>
      <c r="P36">
        <f t="shared" ref="P36" si="232">(M36-1)*B36*$B$16</f>
        <v>1.367976857928219E-3</v>
      </c>
      <c r="Q36">
        <f t="shared" ref="Q36" si="233">(N36-1)*C36*$B$16</f>
        <v>-1.8900155536397099E-3</v>
      </c>
      <c r="T36" s="9"/>
    </row>
    <row r="37" spans="1:20">
      <c r="A37" s="27">
        <f t="shared" ref="A37" si="234">A38-O38</f>
        <v>0.40031856270809235</v>
      </c>
      <c r="B37">
        <f t="shared" ref="B37" si="235">B38-P38</f>
        <v>1.974565338429134E-2</v>
      </c>
      <c r="C37">
        <f t="shared" ref="C37" si="236">1-A37-B37</f>
        <v>0.57993578390761635</v>
      </c>
      <c r="D37">
        <v>331.27066166477732</v>
      </c>
      <c r="E37" s="31">
        <f t="shared" ref="E37" si="237">10^($B$12-$B$13/(D37-273.15+$B$14))</f>
        <v>366.29034115598392</v>
      </c>
      <c r="F37" s="31">
        <f t="shared" ref="F37" si="238">10^($C$12-$C$13/(D37-273.15+$C$14))</f>
        <v>323.24678678478676</v>
      </c>
      <c r="G37" s="31">
        <f t="shared" ref="G37" si="239">10^($D$12-$D$13/(D37-273.15+$D$14))</f>
        <v>586.95154425245562</v>
      </c>
      <c r="H37" s="31">
        <f t="shared" ref="H37" si="240">A37*I37*E37+B37*J37*F37+C37*K37*G37</f>
        <v>760.00000017594493</v>
      </c>
      <c r="I37" s="25">
        <v>2.0552957555964317</v>
      </c>
      <c r="J37" s="25">
        <v>1.1794112530030236</v>
      </c>
      <c r="K37" s="25">
        <v>1.3252233022544617</v>
      </c>
      <c r="L37" s="8">
        <f t="shared" ref="L37" si="241">E37*I37/$H37</f>
        <v>0.99057234647312709</v>
      </c>
      <c r="M37" s="8">
        <f t="shared" ref="M37" si="242">F37*J37/$H37</f>
        <v>0.50163276018787739</v>
      </c>
      <c r="N37" s="8">
        <f t="shared" ref="N37" si="243">G37*K37/$H37</f>
        <v>1.0234761362598943</v>
      </c>
      <c r="O37" s="10">
        <f t="shared" ref="O37" si="244">(L37-1)*A37*$B$16</f>
        <v>5.6610970643814634E-4</v>
      </c>
      <c r="P37">
        <f t="shared" ref="P37" si="245">(M37-1)*B37*$B$16</f>
        <v>1.4760880163124258E-3</v>
      </c>
      <c r="Q37">
        <f t="shared" ref="Q37" si="246">(N37-1)*C37*$B$16</f>
        <v>-2.0421977227505733E-3</v>
      </c>
      <c r="T37" s="9"/>
    </row>
    <row r="38" spans="1:20">
      <c r="A38" s="27">
        <f t="shared" ref="A38" si="247">A39-O39</f>
        <v>0.40093253777895921</v>
      </c>
      <c r="B38">
        <f t="shared" ref="B38" si="248">B39-P39</f>
        <v>2.133794136964105E-2</v>
      </c>
      <c r="C38">
        <f t="shared" ref="C38" si="249">1-A38-B38</f>
        <v>0.57772952085139972</v>
      </c>
      <c r="D38">
        <v>331.29253107167926</v>
      </c>
      <c r="E38" s="31">
        <f t="shared" ref="E38" si="250">10^($B$12-$B$13/(D38-273.15+$B$14))</f>
        <v>366.57753748238281</v>
      </c>
      <c r="F38" s="31">
        <f t="shared" ref="F38" si="251">10^($C$12-$C$13/(D38-273.15+$C$14))</f>
        <v>323.5676941809507</v>
      </c>
      <c r="G38" s="31">
        <f t="shared" ref="G38" si="252">10^($D$12-$D$13/(D38-273.15+$D$14))</f>
        <v>587.4789118980699</v>
      </c>
      <c r="H38" s="31">
        <f t="shared" ref="H38" si="253">A38*I38*E38+B38*J38*F38+C38*K38*G38</f>
        <v>760.00000017388015</v>
      </c>
      <c r="I38" s="25">
        <v>2.0520653734261756</v>
      </c>
      <c r="J38" s="25">
        <v>1.1803195368762989</v>
      </c>
      <c r="K38" s="25">
        <v>1.3265988451986399</v>
      </c>
      <c r="L38" s="8">
        <f t="shared" ref="L38" si="254">E38*I38/$H38</f>
        <v>0.98979088312016938</v>
      </c>
      <c r="M38" s="8">
        <f t="shared" ref="M38" si="255">F38*J38/$H38</f>
        <v>0.50251746165317612</v>
      </c>
      <c r="N38" s="8">
        <f t="shared" ref="N38" si="256">G38*K38/$H38</f>
        <v>1.0254590077950343</v>
      </c>
      <c r="O38" s="10">
        <f t="shared" ref="O38" si="257">(L38-1)*A38*$B$16</f>
        <v>6.1397507086687476E-4</v>
      </c>
      <c r="P38">
        <f t="shared" ref="P38" si="258">(M38-1)*B38*$B$16</f>
        <v>1.5922879853497098E-3</v>
      </c>
      <c r="Q38">
        <f t="shared" ref="Q38" si="259">(N38-1)*C38*$B$16</f>
        <v>-2.2062630562165817E-3</v>
      </c>
      <c r="T38" s="9"/>
    </row>
    <row r="39" spans="1:20">
      <c r="A39" s="27">
        <f t="shared" ref="A39" si="260">A40-O40</f>
        <v>0.40159851090972448</v>
      </c>
      <c r="B39">
        <f t="shared" ref="B39" si="261">B40-P40</f>
        <v>2.3055042344350553E-2</v>
      </c>
      <c r="C39">
        <f t="shared" ref="C39" si="262">1-A39-B39</f>
        <v>0.57534644674592506</v>
      </c>
      <c r="D39">
        <v>331.31618961676173</v>
      </c>
      <c r="E39" s="31">
        <f t="shared" ref="E39" si="263">10^($B$12-$B$13/(D39-273.15+$B$14))</f>
        <v>366.88843187134881</v>
      </c>
      <c r="F39" s="31">
        <f t="shared" ref="F39" si="264">10^($C$12-$C$13/(D39-273.15+$C$14))</f>
        <v>323.91515812452133</v>
      </c>
      <c r="G39" s="31">
        <f t="shared" ref="G39" si="265">10^($D$12-$D$13/(D39-273.15+$D$14))</f>
        <v>588.04986979920739</v>
      </c>
      <c r="H39" s="31">
        <f t="shared" ref="H39" si="266">A39*I39*E39+B39*J39*F39+C39*K39*G39</f>
        <v>760.00000017167349</v>
      </c>
      <c r="I39" s="25">
        <v>2.0485734961213953</v>
      </c>
      <c r="J39" s="25">
        <v>1.1813066954404747</v>
      </c>
      <c r="K39" s="25">
        <v>1.3280949079895028</v>
      </c>
      <c r="L39" s="8">
        <f t="shared" ref="L39" si="267">E39*I39/$H39</f>
        <v>0.98894462815185502</v>
      </c>
      <c r="M39" s="8">
        <f t="shared" ref="M39" si="268">F39*J39/$H39</f>
        <v>0.50347782231674121</v>
      </c>
      <c r="N39" s="8">
        <f t="shared" ref="N39" si="269">G39*K39/$H39</f>
        <v>1.0276132072997415</v>
      </c>
      <c r="O39" s="10">
        <f t="shared" ref="O39" si="270">(L39-1)*A39*$B$16</f>
        <v>6.6597313076524687E-4</v>
      </c>
      <c r="P39">
        <f t="shared" ref="P39" si="271">(M39-1)*B39*$B$16</f>
        <v>1.717100974709502E-3</v>
      </c>
      <c r="Q39">
        <f t="shared" ref="Q39" si="272">(N39-1)*C39*$B$16</f>
        <v>-2.3830741054747351E-3</v>
      </c>
      <c r="T39" s="9"/>
    </row>
    <row r="40" spans="1:20">
      <c r="A40" s="27">
        <f t="shared" ref="A40" si="273">A41-O41</f>
        <v>0.4023209850629928</v>
      </c>
      <c r="B40">
        <f t="shared" ref="B40" si="274">B41-P41</f>
        <v>2.4906112375618121E-2</v>
      </c>
      <c r="C40">
        <f t="shared" ref="C40" si="275">1-A40-B40</f>
        <v>0.57277290256138913</v>
      </c>
      <c r="D40">
        <v>331.34178207153082</v>
      </c>
      <c r="E40" s="31">
        <f t="shared" ref="E40" si="276">10^($B$12-$B$13/(D40-273.15+$B$14))</f>
        <v>367.22497664564122</v>
      </c>
      <c r="F40" s="31">
        <f t="shared" ref="F40" si="277">10^($C$12-$C$13/(D40-273.15+$C$14))</f>
        <v>324.29137958241671</v>
      </c>
      <c r="G40" s="31">
        <f t="shared" ref="G40" si="278">10^($D$12-$D$13/(D40-273.15+$D$14))</f>
        <v>588.66802180088951</v>
      </c>
      <c r="H40" s="31">
        <f t="shared" ref="H40" si="279">A40*I40*E40+B40*J40*F40+C40*K40*G40</f>
        <v>760.00000016932074</v>
      </c>
      <c r="I40" s="25">
        <v>2.0447995169634834</v>
      </c>
      <c r="J40" s="25">
        <v>1.1823799268544724</v>
      </c>
      <c r="K40" s="25">
        <v>1.3297226495673871</v>
      </c>
      <c r="L40" s="8">
        <f t="shared" ref="L40" si="280">E40*I40/$H40</f>
        <v>0.9880282298613684</v>
      </c>
      <c r="M40" s="8">
        <f t="shared" ref="M40" si="281">F40*J40/$H40</f>
        <v>0.50452054945364211</v>
      </c>
      <c r="N40" s="8">
        <f t="shared" ref="N40" si="282">G40*K40/$H40</f>
        <v>1.0299542124872085</v>
      </c>
      <c r="O40" s="10">
        <f t="shared" ref="O40" si="283">(L40-1)*A40*$B$16</f>
        <v>7.2247415326829798E-4</v>
      </c>
      <c r="P40">
        <f t="shared" ref="P40" si="284">(M40-1)*B40*$B$16</f>
        <v>1.8510700312675665E-3</v>
      </c>
      <c r="Q40">
        <f t="shared" ref="Q40" si="285">(N40-1)*C40*$B$16</f>
        <v>-2.5735441845358554E-3</v>
      </c>
      <c r="T40" s="9"/>
    </row>
    <row r="41" spans="1:20">
      <c r="A41" s="27">
        <f t="shared" ref="A41" si="286">A42-O42</f>
        <v>0.40310486864654826</v>
      </c>
      <c r="B41">
        <f t="shared" ref="B41" si="287">B42-P42</f>
        <v>2.6900866848583799E-2</v>
      </c>
      <c r="C41">
        <f t="shared" ref="C41" si="288">1-A41-B41</f>
        <v>0.5699942645048679</v>
      </c>
      <c r="D41">
        <v>331.36946465278237</v>
      </c>
      <c r="E41" s="31">
        <f t="shared" ref="E41" si="289">10^($B$12-$B$13/(D41-273.15+$B$14))</f>
        <v>367.58928445785261</v>
      </c>
      <c r="F41" s="31">
        <f t="shared" ref="F41" si="290">10^($C$12-$C$13/(D41-273.15+$C$14))</f>
        <v>324.69874251820517</v>
      </c>
      <c r="G41" s="31">
        <f t="shared" ref="G41" si="291">10^($D$12-$D$13/(D41-273.15+$D$14))</f>
        <v>589.3372698814311</v>
      </c>
      <c r="H41" s="31">
        <f t="shared" ref="H41" si="292">A41*I41*E41+B41*J41*F41+C41*K41*G41</f>
        <v>760.00000016680428</v>
      </c>
      <c r="I41" s="25">
        <v>2.0407213111952629</v>
      </c>
      <c r="J41" s="25">
        <v>1.1835471483690412</v>
      </c>
      <c r="K41" s="25">
        <v>1.3314943645216337</v>
      </c>
      <c r="L41" s="8">
        <f t="shared" ref="L41" si="293">E41*I41/$H41</f>
        <v>0.9870359031519943</v>
      </c>
      <c r="M41" s="8">
        <f t="shared" ref="M41" si="294">F41*J41/$H41</f>
        <v>0.50565298776590817</v>
      </c>
      <c r="N41" s="8">
        <f t="shared" ref="N41" si="295">G41*K41/$H41</f>
        <v>1.0324990177335069</v>
      </c>
      <c r="O41" s="10">
        <f t="shared" ref="O41" si="296">(L41-1)*A41*$B$16</f>
        <v>7.8388358355547031E-4</v>
      </c>
      <c r="P41">
        <f t="shared" ref="P41" si="297">(M41-1)*B41*$B$16</f>
        <v>1.9947544729656797E-3</v>
      </c>
      <c r="Q41">
        <f t="shared" ref="Q41" si="298">(N41-1)*C41*$B$16</f>
        <v>-2.7786380565211419E-3</v>
      </c>
      <c r="T41" s="9"/>
    </row>
    <row r="42" spans="1:20">
      <c r="A42" s="27">
        <f t="shared" ref="A42" si="299">A43-O43</f>
        <v>0.40395551430215815</v>
      </c>
      <c r="B42">
        <f t="shared" ref="B42" si="300">B43-P43</f>
        <v>2.9049593273421877E-2</v>
      </c>
      <c r="C42">
        <f t="shared" ref="C42" si="301">1-A42-B42</f>
        <v>0.56699489242442003</v>
      </c>
      <c r="D42">
        <v>331.39940588247026</v>
      </c>
      <c r="E42" s="31">
        <f t="shared" ref="E42" si="302">10^($B$12-$B$13/(D42-273.15+$B$14))</f>
        <v>367.9836413779197</v>
      </c>
      <c r="F42" s="31">
        <f t="shared" ref="F42" si="303">10^($C$12-$C$13/(D42-273.15+$C$14))</f>
        <v>325.13982921279739</v>
      </c>
      <c r="G42" s="31">
        <f t="shared" ref="G42" si="304">10^($D$12-$D$13/(D42-273.15+$D$14))</f>
        <v>590.06183885924975</v>
      </c>
      <c r="H42" s="31">
        <f t="shared" ref="H42" si="305">A42*I42*E42+B42*J42*F42+C42*K42*G42</f>
        <v>760.00000016412184</v>
      </c>
      <c r="I42" s="25">
        <v>2.036315144836907</v>
      </c>
      <c r="J42" s="25">
        <v>1.1848170791721648</v>
      </c>
      <c r="K42" s="25">
        <v>1.3334236157874548</v>
      </c>
      <c r="L42" s="8">
        <f t="shared" ref="L42" si="306">E42*I42/$H42</f>
        <v>0.98596139714246478</v>
      </c>
      <c r="M42" s="8">
        <f t="shared" ref="M42" si="307">F42*J42/$H42</f>
        <v>0.50688318774638497</v>
      </c>
      <c r="N42" s="8">
        <f t="shared" ref="N42" si="308">G42*K42/$H42</f>
        <v>1.0352663033420861</v>
      </c>
      <c r="O42" s="10">
        <f t="shared" ref="O42" si="309">(L42-1)*A42*$B$16</f>
        <v>8.5064565560990797E-4</v>
      </c>
      <c r="P42">
        <f t="shared" ref="P42" si="310">(M42-1)*B42*$B$16</f>
        <v>2.148726424838078E-3</v>
      </c>
      <c r="Q42">
        <f t="shared" ref="Q42" si="311">(N42-1)*C42*$B$16</f>
        <v>-2.999372080447964E-3</v>
      </c>
      <c r="T42" s="9"/>
    </row>
    <row r="43" spans="1:20">
      <c r="A43" s="27">
        <f t="shared" ref="A43" si="312">A44-O44</f>
        <v>0.40487876170404175</v>
      </c>
      <c r="B43">
        <f t="shared" ref="B43" si="313">B44-P44</f>
        <v>3.1363159544576788E-2</v>
      </c>
      <c r="C43">
        <f t="shared" ref="C43" si="314">1-A43-B43</f>
        <v>0.56375807875138151</v>
      </c>
      <c r="D43">
        <v>331.43178750472191</v>
      </c>
      <c r="E43" s="31">
        <f t="shared" ref="E43" si="315">10^($B$12-$B$13/(D43-273.15+$B$14))</f>
        <v>368.41052103769357</v>
      </c>
      <c r="F43" s="31">
        <f t="shared" ref="F43" si="316">10^($C$12-$C$13/(D43-273.15+$C$14))</f>
        <v>325.6174368875653</v>
      </c>
      <c r="G43" s="31">
        <f t="shared" ref="G43" si="317">10^($D$12-$D$13/(D43-273.15+$D$14))</f>
        <v>590.84630315805498</v>
      </c>
      <c r="H43" s="31">
        <f t="shared" ref="H43" si="318">A43*I43*E43+B43*J43*F43+C43*K43*G43</f>
        <v>760.00000016126523</v>
      </c>
      <c r="I43" s="25">
        <v>2.0315555823376479</v>
      </c>
      <c r="J43" s="25">
        <v>1.186199334665996</v>
      </c>
      <c r="K43" s="25">
        <v>1.3355253855931324</v>
      </c>
      <c r="L43" s="8">
        <f t="shared" ref="L43" si="319">E43*I43/$H43</f>
        <v>0.98479796111478179</v>
      </c>
      <c r="M43" s="8">
        <f t="shared" ref="M43" si="320">F43*J43/$H43</f>
        <v>0.50821998277594571</v>
      </c>
      <c r="N43" s="8">
        <f t="shared" ref="N43" si="321">G43*K43/$H43</f>
        <v>1.0382766272157897</v>
      </c>
      <c r="O43" s="10">
        <f t="shared" ref="O43" si="322">(L43-1)*A43*$B$16</f>
        <v>9.2324740188357577E-4</v>
      </c>
      <c r="P43">
        <f t="shared" ref="P43" si="323">(M43-1)*B43*$B$16</f>
        <v>2.3135662711549101E-3</v>
      </c>
      <c r="Q43">
        <f t="shared" ref="Q43" si="324">(N43-1)*C43*$B$16</f>
        <v>-3.2368136730384686E-3</v>
      </c>
      <c r="T43" s="9"/>
    </row>
    <row r="44" spans="1:20">
      <c r="A44" s="27">
        <f t="shared" ref="A44" si="325">A45-O45</f>
        <v>0.40588098481097212</v>
      </c>
      <c r="B44">
        <f t="shared" ref="B44" si="326">B45-P45</f>
        <v>3.3853016349179171E-2</v>
      </c>
      <c r="C44">
        <f t="shared" ref="C44" si="327">1-A44-B44</f>
        <v>0.56026599883984873</v>
      </c>
      <c r="D44">
        <v>331.46680546256698</v>
      </c>
      <c r="E44" s="31">
        <f t="shared" ref="E44" si="328">10^($B$12-$B$13/(D44-273.15+$B$14))</f>
        <v>368.87259991674637</v>
      </c>
      <c r="F44" s="31">
        <f t="shared" ref="F44" si="329">10^($C$12-$C$13/(D44-273.15+$C$14))</f>
        <v>326.13459574447967</v>
      </c>
      <c r="G44" s="31">
        <f t="shared" ref="G44" si="330">10^($D$12-$D$13/(D44-273.15+$D$14))</f>
        <v>591.69561580484481</v>
      </c>
      <c r="H44" s="31">
        <f t="shared" ref="H44" si="331">A44*I44*E44+B44*J44*F44+C44*K44*G44</f>
        <v>760.00000015822798</v>
      </c>
      <c r="I44" s="25">
        <v>2.0264153941439096</v>
      </c>
      <c r="J44" s="25">
        <v>1.1877045340570713</v>
      </c>
      <c r="K44" s="25">
        <v>1.3378162475869437</v>
      </c>
      <c r="L44" s="8">
        <f t="shared" ref="L44" si="332">E44*I44/$H44</f>
        <v>0.98353830893889349</v>
      </c>
      <c r="M44" s="8">
        <f t="shared" ref="M44" si="333">F44*J44/$H44</f>
        <v>0.50967307631308423</v>
      </c>
      <c r="N44" s="8">
        <f t="shared" ref="N44" si="334">G44*K44/$H44</f>
        <v>1.041552642480106</v>
      </c>
      <c r="O44" s="10">
        <f t="shared" ref="O44" si="335">(L44-1)*A44*$B$16</f>
        <v>1.002223106930383E-3</v>
      </c>
      <c r="P44">
        <f t="shared" ref="P44" si="336">(M44-1)*B44*$B$16</f>
        <v>2.4898568046023829E-3</v>
      </c>
      <c r="Q44">
        <f t="shared" ref="Q44" si="337">(N44-1)*C44*$B$16</f>
        <v>-3.4920799115327611E-3</v>
      </c>
      <c r="T44" s="9"/>
    </row>
    <row r="45" spans="1:20">
      <c r="A45" s="27">
        <f t="shared" ref="A45" si="338">A46-O46</f>
        <v>0.40696914406551565</v>
      </c>
      <c r="B45">
        <f t="shared" ref="B45" si="339">B46-P46</f>
        <v>3.6531192164215208E-2</v>
      </c>
      <c r="C45">
        <f t="shared" ref="C45" si="340">1-A45-B45</f>
        <v>0.55649966377026916</v>
      </c>
      <c r="D45">
        <v>331.50467093684142</v>
      </c>
      <c r="E45" s="31">
        <f t="shared" ref="E45" si="341">10^($B$12-$B$13/(D45-273.15+$B$14))</f>
        <v>369.37277386018212</v>
      </c>
      <c r="F45" s="31">
        <f t="shared" ref="F45" si="342">10^($C$12-$C$13/(D45-273.15+$C$14))</f>
        <v>326.69458854870044</v>
      </c>
      <c r="G45" s="31">
        <f t="shared" ref="G45" si="343">10^($D$12-$D$13/(D45-273.15+$D$14))</f>
        <v>592.61513985059707</v>
      </c>
      <c r="H45" s="31">
        <f t="shared" ref="H45" si="344">A45*I45*E45+B45*J45*F45+C45*K45*G45</f>
        <v>760.00000015500086</v>
      </c>
      <c r="I45" s="25">
        <v>2.0208654655643543</v>
      </c>
      <c r="J45" s="25">
        <v>1.1893444234975461</v>
      </c>
      <c r="K45" s="25">
        <v>1.3403145636068869</v>
      </c>
      <c r="L45" s="8">
        <f t="shared" ref="L45" si="345">E45*I45/$H45</f>
        <v>0.98217458218620535</v>
      </c>
      <c r="M45" s="8">
        <f t="shared" ref="M45" si="346">F45*J45/$H45</f>
        <v>0.5112531407868125</v>
      </c>
      <c r="N45" s="8">
        <f t="shared" ref="N45" si="347">G45*K45/$H45</f>
        <v>1.0451193452548591</v>
      </c>
      <c r="O45" s="10">
        <f t="shared" ref="O45" si="348">(L45-1)*A45*$B$16</f>
        <v>1.0881592545435308E-3</v>
      </c>
      <c r="P45">
        <f t="shared" ref="P45" si="349">(M45-1)*B45*$B$16</f>
        <v>2.6781758150360383E-3</v>
      </c>
      <c r="Q45">
        <f t="shared" ref="Q45" si="350">(N45-1)*C45*$B$16</f>
        <v>-3.7663350695795626E-3</v>
      </c>
      <c r="T45" s="9"/>
    </row>
    <row r="46" spans="1:20">
      <c r="A46" s="27">
        <f t="shared" ref="A46" si="351">A47-O47</f>
        <v>0.40815084408806529</v>
      </c>
      <c r="B46">
        <f t="shared" ref="B46" si="352">B47-P47</f>
        <v>3.9410278980043949E-2</v>
      </c>
      <c r="C46">
        <f t="shared" ref="C46" si="353">1-A46-B46</f>
        <v>0.55243887693189087</v>
      </c>
      <c r="D46">
        <v>331.54561144958228</v>
      </c>
      <c r="E46" s="31">
        <f t="shared" ref="E46" si="354">10^($B$12-$B$13/(D46-273.15+$B$14))</f>
        <v>369.91417592646269</v>
      </c>
      <c r="F46" s="31">
        <f t="shared" ref="F46" si="355">10^($C$12-$C$13/(D46-273.15+$C$14))</f>
        <v>327.30097189109836</v>
      </c>
      <c r="G46" s="31">
        <f t="shared" ref="G46" si="356">10^($D$12-$D$13/(D46-273.15+$D$14))</f>
        <v>593.61068242063186</v>
      </c>
      <c r="H46" s="31">
        <f t="shared" ref="H46" si="357">A46*I46*E46+B46*J46*F46+C46*K46*G46</f>
        <v>760.00000015158093</v>
      </c>
      <c r="I46" s="25">
        <v>2.0148747086716887</v>
      </c>
      <c r="J46" s="25">
        <v>1.1911320174452551</v>
      </c>
      <c r="K46" s="25">
        <v>1.3430407091976226</v>
      </c>
      <c r="L46" s="8">
        <f t="shared" ref="L46" si="358">E46*I46/$H46</f>
        <v>0.98069831224303172</v>
      </c>
      <c r="M46" s="8">
        <f t="shared" ref="M46" si="359">F46*J46/$H46</f>
        <v>0.51297193010878939</v>
      </c>
      <c r="N46" s="8">
        <f t="shared" ref="N46" si="360">G46*K46/$H46</f>
        <v>1.0490043575611594</v>
      </c>
      <c r="O46" s="10">
        <f t="shared" ref="O46" si="361">(L46-1)*A46*$B$16</f>
        <v>1.1817000225496316E-3</v>
      </c>
      <c r="P46">
        <f t="shared" ref="P46" si="362">(M46-1)*B46*$B$16</f>
        <v>2.879086815828743E-3</v>
      </c>
      <c r="Q46">
        <f t="shared" ref="Q46" si="363">(N46-1)*C46*$B$16</f>
        <v>-4.0607868383783566E-3</v>
      </c>
      <c r="T46" s="9"/>
    </row>
    <row r="47" spans="1:20">
      <c r="A47" s="27">
        <f t="shared" ref="A47" si="364">A48-O48</f>
        <v>0.40943439747213684</v>
      </c>
      <c r="B47">
        <f t="shared" ref="B47" si="365">B48-P48</f>
        <v>4.2503406534362784E-2</v>
      </c>
      <c r="C47">
        <f t="shared" ref="C47" si="366">1-A47-B47</f>
        <v>0.54806219599350037</v>
      </c>
      <c r="D47">
        <v>331.58987203402302</v>
      </c>
      <c r="E47" s="31">
        <f t="shared" ref="E47" si="367">10^($B$12-$B$13/(D47-273.15+$B$14))</f>
        <v>370.50019567106091</v>
      </c>
      <c r="F47" s="31">
        <f t="shared" ref="F47" si="368">10^($C$12-$C$13/(D47-273.15+$C$14))</f>
        <v>327.95759928149533</v>
      </c>
      <c r="G47" s="31">
        <f t="shared" ref="G47" si="369">10^($D$12-$D$13/(D47-273.15+$D$14))</f>
        <v>594.68853162040875</v>
      </c>
      <c r="H47" s="31">
        <f t="shared" ref="H47" si="370">A47*I47*E47+B47*J47*F47+C47*K47*G47</f>
        <v>760.00000014796046</v>
      </c>
      <c r="I47" s="25">
        <v>2.0084099794086097</v>
      </c>
      <c r="J47" s="25">
        <v>1.1930817614314828</v>
      </c>
      <c r="K47" s="25">
        <v>1.3460173327517544</v>
      </c>
      <c r="L47" s="8">
        <f t="shared" ref="L47" si="371">E47*I47/$H47</f>
        <v>0.97910038186017523</v>
      </c>
      <c r="M47" s="8">
        <f t="shared" ref="M47" si="372">F47*J47/$H47</f>
        <v>0.51484240809135595</v>
      </c>
      <c r="N47" s="8">
        <f t="shared" ref="N47" si="373">G47*K47/$H47</f>
        <v>1.0532382513077925</v>
      </c>
      <c r="O47" s="10">
        <f t="shared" ref="O47" si="374">(L47-1)*A47*$B$16</f>
        <v>1.2835533840715346E-3</v>
      </c>
      <c r="P47">
        <f t="shared" ref="P47" si="375">(M47-1)*B47*$B$16</f>
        <v>3.0931275543188363E-3</v>
      </c>
      <c r="Q47">
        <f t="shared" ref="Q47" si="376">(N47-1)*C47*$B$16</f>
        <v>-4.3766809383903879E-3</v>
      </c>
      <c r="T47" s="9"/>
    </row>
    <row r="48" spans="1:20">
      <c r="A48" s="27">
        <f t="shared" ref="A48" si="377">A49-O49</f>
        <v>0.41082889535073502</v>
      </c>
      <c r="B48">
        <f t="shared" ref="B48" si="378">B49-P49</f>
        <v>4.5824202427751995E-2</v>
      </c>
      <c r="C48">
        <f t="shared" ref="C48" si="379">1-A48-B48</f>
        <v>0.54334690222151294</v>
      </c>
      <c r="D48">
        <v>331.63771647303111</v>
      </c>
      <c r="E48" s="31">
        <f t="shared" ref="E48" si="380">10^($B$12-$B$13/(D48-273.15+$B$14))</f>
        <v>371.13449998024674</v>
      </c>
      <c r="F48" s="31">
        <f t="shared" ref="F48" si="381">10^($C$12-$C$13/(D48-273.15+$C$14))</f>
        <v>328.6686462382965</v>
      </c>
      <c r="G48" s="31">
        <f t="shared" ref="G48" si="382">10^($D$12-$D$13/(D48-273.15+$D$14))</f>
        <v>595.85549654327997</v>
      </c>
      <c r="H48" s="31">
        <f t="shared" ref="H48" si="383">A48*I48*E48+B48*J48*F48+C48*K48*G48</f>
        <v>760.00000014413558</v>
      </c>
      <c r="I48" s="25">
        <v>2.001436002571372</v>
      </c>
      <c r="J48" s="25">
        <v>1.1952097200577219</v>
      </c>
      <c r="K48" s="25">
        <v>1.3492696540862155</v>
      </c>
      <c r="L48" s="8">
        <f t="shared" ref="L48" si="384">E48*I48/$H48</f>
        <v>0.97737098673146849</v>
      </c>
      <c r="M48" s="8">
        <f t="shared" ref="M48" si="385">F48*J48/$H48</f>
        <v>0.51687889551016331</v>
      </c>
      <c r="N48" s="8">
        <f t="shared" ref="N48" si="386">G48*K48/$H48</f>
        <v>1.0578549204655883</v>
      </c>
      <c r="O48" s="10">
        <f t="shared" ref="O48" si="387">(L48-1)*A48*$B$16</f>
        <v>1.3944978785981887E-3</v>
      </c>
      <c r="P48">
        <f t="shared" ref="P48" si="388">(M48-1)*B48*$B$16</f>
        <v>3.3207958933892099E-3</v>
      </c>
      <c r="Q48">
        <f t="shared" ref="Q48" si="389">(N48-1)*C48*$B$16</f>
        <v>-4.7152937719874095E-3</v>
      </c>
      <c r="T48" s="9"/>
    </row>
    <row r="49" spans="1:20">
      <c r="A49" s="27">
        <f t="shared" ref="A49" si="390">A50-O50</f>
        <v>0.41234428547108393</v>
      </c>
      <c r="B49">
        <f t="shared" ref="B49" si="391">B50-P50</f>
        <v>4.9386735010488375E-2</v>
      </c>
      <c r="C49">
        <f t="shared" ref="C49" si="392">1-A49-B49</f>
        <v>0.53826897951842767</v>
      </c>
      <c r="D49">
        <v>331.68942860747825</v>
      </c>
      <c r="E49" s="31">
        <f t="shared" ref="E49" si="393">10^($B$12-$B$13/(D49-273.15+$B$14))</f>
        <v>371.82105557845705</v>
      </c>
      <c r="F49" s="31">
        <f t="shared" ref="F49" si="394">10^($C$12-$C$13/(D49-273.15+$C$14))</f>
        <v>329.43863755654229</v>
      </c>
      <c r="G49" s="31">
        <f t="shared" ref="G49" si="395">10^($D$12-$D$13/(D49-273.15+$D$14))</f>
        <v>597.11895064948635</v>
      </c>
      <c r="H49" s="31">
        <f t="shared" ref="H49" si="396">A49*I49*E49+B49*J49*F49+C49*K49*G49</f>
        <v>760.00000014010459</v>
      </c>
      <c r="I49" s="25">
        <v>1.993915307939492</v>
      </c>
      <c r="J49" s="25">
        <v>1.197533794812214</v>
      </c>
      <c r="K49" s="25">
        <v>1.3528258093956325</v>
      </c>
      <c r="L49" s="8">
        <f t="shared" ref="L49" si="397">E49*I49/$H49</f>
        <v>0.97549959788872931</v>
      </c>
      <c r="M49" s="8">
        <f t="shared" ref="M49" si="398">F49*J49/$H49</f>
        <v>0.51909723910279437</v>
      </c>
      <c r="N49" s="8">
        <f t="shared" ref="N49" si="399">G49*K49/$H49</f>
        <v>1.0628920099591395</v>
      </c>
      <c r="O49" s="10">
        <f t="shared" ref="O49" si="400">(L49-1)*A49*$B$16</f>
        <v>1.5153901203489224E-3</v>
      </c>
      <c r="P49">
        <f t="shared" ref="P49" si="401">(M49-1)*B49*$B$16</f>
        <v>3.5625325827363819E-3</v>
      </c>
      <c r="Q49">
        <f t="shared" ref="Q49" si="402">(N49-1)*C49*$B$16</f>
        <v>-5.0779227030853186E-3</v>
      </c>
      <c r="T49" s="9"/>
    </row>
    <row r="50" spans="1:20">
      <c r="A50" s="27">
        <f t="shared" ref="A50" si="403">A51-O51</f>
        <v>0.41399145858594988</v>
      </c>
      <c r="B50">
        <f t="shared" ref="B50" si="404">B51-P51</f>
        <v>5.3205435370301937E-2</v>
      </c>
      <c r="C50">
        <f t="shared" ref="C50" si="405">1-A50-B50</f>
        <v>0.53280310604374814</v>
      </c>
      <c r="D50">
        <v>331.74531371559686</v>
      </c>
      <c r="E50" s="31">
        <f t="shared" ref="E50" si="406">10^($B$12-$B$13/(D50-273.15+$B$14))</f>
        <v>372.5641533426014</v>
      </c>
      <c r="F50" s="31">
        <f t="shared" ref="F50" si="407">10^($C$12-$C$13/(D50-273.15+$C$14))</f>
        <v>330.27247695473437</v>
      </c>
      <c r="G50" s="31">
        <f t="shared" ref="G50" si="408">10^($D$12-$D$13/(D50-273.15+$D$14))</f>
        <v>598.48687881079547</v>
      </c>
      <c r="H50" s="31">
        <f t="shared" ref="H50" si="409">A50*I50*E50+B50*J50*F50+C50*K50*G50</f>
        <v>760.00000013586305</v>
      </c>
      <c r="I50" s="25">
        <v>1.9858081815146884</v>
      </c>
      <c r="J50" s="25">
        <v>1.2000739772351665</v>
      </c>
      <c r="K50" s="25">
        <v>1.3567172508990142</v>
      </c>
      <c r="L50" s="8">
        <f t="shared" ref="L50" si="410">E50*I50/$H50</f>
        <v>0.97347492594022567</v>
      </c>
      <c r="M50" s="8">
        <f t="shared" ref="M50" si="411">F50*J50/$H50</f>
        <v>0.52151500647305704</v>
      </c>
      <c r="N50" s="8">
        <f t="shared" ref="N50" si="412">G50*K50/$H50</f>
        <v>1.068391411544946</v>
      </c>
      <c r="O50" s="10">
        <f t="shared" ref="O50" si="413">(L50-1)*A50*$B$16</f>
        <v>1.647173114865948E-3</v>
      </c>
      <c r="P50">
        <f t="shared" ref="P50" si="414">(M50-1)*B50*$B$16</f>
        <v>3.8187003598135656E-3</v>
      </c>
      <c r="Q50">
        <f t="shared" ref="Q50" si="415">(N50-1)*C50*$B$16</f>
        <v>-5.4658734746795218E-3</v>
      </c>
      <c r="T50" s="9"/>
    </row>
    <row r="51" spans="1:20">
      <c r="A51" s="27">
        <f t="shared" ref="A51" si="416">A52-O52</f>
        <v>0.41578234404299064</v>
      </c>
      <c r="B51">
        <f t="shared" ref="B51" si="417">B52-P52</f>
        <v>5.7294994100918387E-2</v>
      </c>
      <c r="C51">
        <f t="shared" ref="C51" si="418">1-A51-B51</f>
        <v>0.52692266185609093</v>
      </c>
      <c r="D51">
        <v>331.80569996382337</v>
      </c>
      <c r="E51" s="31">
        <f t="shared" ref="E51" si="419">10^($B$12-$B$13/(D51-273.15+$B$14))</f>
        <v>373.36843456724989</v>
      </c>
      <c r="F51" s="31">
        <f t="shared" ref="F51" si="420">10^($C$12-$C$13/(D51-273.15+$C$14))</f>
        <v>331.17547932089445</v>
      </c>
      <c r="G51" s="31">
        <f t="shared" ref="G51" si="421">10^($D$12-$D$13/(D51-273.15+$D$14))</f>
        <v>599.96792834264431</v>
      </c>
      <c r="H51" s="31">
        <f t="shared" ref="H51" si="422">A51*I51*E51+B51*J51*F51+C51*K51*G51</f>
        <v>760.00000013141107</v>
      </c>
      <c r="I51" s="25">
        <v>1.9770726366369906</v>
      </c>
      <c r="J51" s="25">
        <v>1.2028526441081304</v>
      </c>
      <c r="K51" s="25">
        <v>1.3609792111714396</v>
      </c>
      <c r="L51" s="8">
        <f t="shared" ref="L51" si="423">E51*I51/$H51</f>
        <v>0.97128488847271166</v>
      </c>
      <c r="M51" s="8">
        <f t="shared" ref="M51" si="424">F51*J51/$H51</f>
        <v>0.52415171170531061</v>
      </c>
      <c r="N51" s="8">
        <f t="shared" ref="N51" si="425">G51*K51/$H51</f>
        <v>1.0743998390825615</v>
      </c>
      <c r="O51" s="10">
        <f t="shared" ref="O51" si="426">(L51-1)*A51*$B$16</f>
        <v>1.7908854570407768E-3</v>
      </c>
      <c r="P51">
        <f t="shared" ref="P51" si="427">(M51-1)*B51*$B$16</f>
        <v>4.0895587306164511E-3</v>
      </c>
      <c r="Q51">
        <f t="shared" ref="Q51" si="428">(N51-1)*C51*$B$16</f>
        <v>-5.8804441876572225E-3</v>
      </c>
      <c r="T51" s="9"/>
    </row>
    <row r="52" spans="1:20">
      <c r="A52" s="27">
        <f t="shared" ref="A52" si="429">A53-O53</f>
        <v>0.41773001552725242</v>
      </c>
      <c r="B52">
        <f t="shared" ref="B52" si="430">B53-P53</f>
        <v>6.1670227779225102E-2</v>
      </c>
      <c r="C52">
        <f t="shared" ref="C52" si="431">1-A52-B52</f>
        <v>0.52059975669352243</v>
      </c>
      <c r="D52">
        <v>331.87093992894347</v>
      </c>
      <c r="E52" s="31">
        <f t="shared" ref="E52" si="432">10^($B$12-$B$13/(D52-273.15+$B$14))</f>
        <v>374.23891933585111</v>
      </c>
      <c r="F52" s="31">
        <f t="shared" ref="F52" si="433">10^($C$12-$C$13/(D52-273.15+$C$14))</f>
        <v>332.15340580048002</v>
      </c>
      <c r="G52" s="31">
        <f t="shared" ref="G52" si="434">10^($D$12-$D$13/(D52-273.15+$D$14))</f>
        <v>601.57146437546396</v>
      </c>
      <c r="H52" s="31">
        <f t="shared" ref="H52" si="435">A52*I52*E52+B52*J52*F52+C52*K52*G52</f>
        <v>760.000000126754</v>
      </c>
      <c r="I52" s="25">
        <v>1.9676644106702241</v>
      </c>
      <c r="J52" s="25">
        <v>1.2058949027475814</v>
      </c>
      <c r="K52" s="25">
        <v>1.3656512442008395</v>
      </c>
      <c r="L52" s="8">
        <f t="shared" ref="L52" si="436">E52*I52/$H52</f>
        <v>0.96891658229213806</v>
      </c>
      <c r="M52" s="8">
        <f t="shared" ref="M52" si="437">F52*J52/$H52</f>
        <v>0.5270290775240063</v>
      </c>
      <c r="N52" s="8">
        <f t="shared" ref="N52" si="438">G52*K52/$H52</f>
        <v>1.0809694982408633</v>
      </c>
      <c r="O52" s="10">
        <f t="shared" ref="O52" si="439">(L52-1)*A52*$B$16</f>
        <v>1.947671484261786E-3</v>
      </c>
      <c r="P52">
        <f t="shared" ref="P52" si="440">(M52-1)*B52*$B$16</f>
        <v>4.3752336783067121E-3</v>
      </c>
      <c r="Q52">
        <f t="shared" ref="Q52" si="441">(N52-1)*C52*$B$16</f>
        <v>-6.3229051625685031E-3</v>
      </c>
      <c r="T52" s="9"/>
    </row>
    <row r="53" spans="1:20">
      <c r="A53" s="27">
        <f t="shared" ref="A53" si="442">A54-O54</f>
        <v>0.41984880798348778</v>
      </c>
      <c r="B53">
        <f t="shared" ref="B53" si="443">B54-P54</f>
        <v>6.6345909211361159E-2</v>
      </c>
      <c r="C53">
        <f t="shared" ref="C53" si="444">1-A53-B53</f>
        <v>0.51380528280515103</v>
      </c>
      <c r="D53">
        <v>331.94141219049664</v>
      </c>
      <c r="E53" s="31">
        <f t="shared" ref="E53" si="445">10^($B$12-$B$13/(D53-273.15+$B$14))</f>
        <v>375.18103716472154</v>
      </c>
      <c r="F53" s="31">
        <f t="shared" ref="F53" si="446">10^($C$12-$C$13/(D53-273.15+$C$14))</f>
        <v>333.21250199286078</v>
      </c>
      <c r="G53" s="31">
        <f t="shared" ref="G53" si="447">10^($D$12-$D$13/(D53-273.15+$D$14))</f>
        <v>603.30762994891916</v>
      </c>
      <c r="H53" s="31">
        <f t="shared" ref="H53" si="448">A53*I53*E53+B53*J53*F53+C53*K53*G53</f>
        <v>760.00000012188684</v>
      </c>
      <c r="I53" s="25">
        <v>1.9575369940001306</v>
      </c>
      <c r="J53" s="25">
        <v>1.2092289962076119</v>
      </c>
      <c r="K53" s="25">
        <v>1.3707778577232392</v>
      </c>
      <c r="L53" s="8">
        <f t="shared" ref="L53" si="449">E53*I53/$H53</f>
        <v>0.96635626260459762</v>
      </c>
      <c r="M53" s="8">
        <f t="shared" ref="M53" si="450">F53*J53/$H53</f>
        <v>0.53017134111056974</v>
      </c>
      <c r="N53" s="8">
        <f t="shared" ref="N53" si="451">G53*K53/$H53</f>
        <v>1.0881588689432</v>
      </c>
      <c r="O53" s="10">
        <f t="shared" ref="O53" si="452">(L53-1)*A53*$B$16</f>
        <v>2.1187924562353772E-3</v>
      </c>
      <c r="P53">
        <f t="shared" ref="P53" si="453">(M53-1)*B53*$B$16</f>
        <v>4.6756814321360562E-3</v>
      </c>
      <c r="Q53">
        <f t="shared" ref="Q53" si="454">(N53-1)*C53*$B$16</f>
        <v>-6.7944738883714698E-3</v>
      </c>
      <c r="T53" s="9"/>
    </row>
    <row r="54" spans="1:20">
      <c r="A54" s="27">
        <f t="shared" ref="A54" si="455">A55-O55</f>
        <v>0.42215444681066067</v>
      </c>
      <c r="B54">
        <f t="shared" ref="B54" si="456">B55-P55</f>
        <v>7.1336554510863348E-2</v>
      </c>
      <c r="C54">
        <f t="shared" ref="C54" si="457">1-A54-B54</f>
        <v>0.5065089986784761</v>
      </c>
      <c r="D54">
        <v>332.01752299132215</v>
      </c>
      <c r="E54" s="31">
        <f t="shared" ref="E54" si="458">10^($B$12-$B$13/(D54-273.15+$B$14))</f>
        <v>376.20066009825683</v>
      </c>
      <c r="F54" s="31">
        <f t="shared" ref="F54" si="459">10^($C$12-$C$13/(D54-273.15+$C$14))</f>
        <v>334.35953954895996</v>
      </c>
      <c r="G54" s="31">
        <f t="shared" ref="G54" si="460">10^($D$12-$D$13/(D54-273.15+$D$14))</f>
        <v>605.18741124650739</v>
      </c>
      <c r="H54" s="31">
        <f t="shared" ref="H54" si="461">A54*I54*E54+B54*J54*F54+C54*K54*G54</f>
        <v>760.00000011682505</v>
      </c>
      <c r="I54" s="25">
        <v>1.9466416992696893</v>
      </c>
      <c r="J54" s="25">
        <v>1.2128867803205925</v>
      </c>
      <c r="K54" s="25">
        <v>1.3764092544841178</v>
      </c>
      <c r="L54" s="8">
        <f t="shared" ref="L54" si="462">E54*I54/$H54</f>
        <v>0.96358933174668171</v>
      </c>
      <c r="M54" s="8">
        <f t="shared" ref="M54" si="463">F54*J54/$H54</f>
        <v>0.53360561227720438</v>
      </c>
      <c r="N54" s="8">
        <f t="shared" ref="N54" si="464">G54*K54/$H54</f>
        <v>1.0960336229064924</v>
      </c>
      <c r="O54" s="10">
        <f t="shared" ref="O54" si="465">(L54-1)*A54*$B$16</f>
        <v>2.3056388271729101E-3</v>
      </c>
      <c r="P54">
        <f t="shared" ref="P54" si="466">(M54-1)*B54*$B$16</f>
        <v>4.9906452995021914E-3</v>
      </c>
      <c r="Q54">
        <f t="shared" ref="Q54" si="467">(N54-1)*C54*$B$16</f>
        <v>-7.2962841266750759E-3</v>
      </c>
      <c r="T54" s="9"/>
    </row>
    <row r="55" spans="1:20">
      <c r="A55" s="27">
        <f t="shared" ref="A55" si="468">A56-O56</f>
        <v>0.42466419047570036</v>
      </c>
      <c r="B55">
        <f t="shared" ref="B55" si="469">B56-P56</f>
        <v>7.6656158930860696E-2</v>
      </c>
      <c r="C55">
        <f t="shared" ref="C55" si="470">1-A55-B55</f>
        <v>0.49867965059343894</v>
      </c>
      <c r="D55">
        <v>332.09970796275087</v>
      </c>
      <c r="E55" s="31">
        <f t="shared" ref="E55" si="471">10^($B$12-$B$13/(D55-273.15+$B$14))</f>
        <v>377.30413844458963</v>
      </c>
      <c r="F55" s="31">
        <f t="shared" ref="F55" si="472">10^($C$12-$C$13/(D55-273.15+$C$14))</f>
        <v>335.60186148947889</v>
      </c>
      <c r="G55" s="31">
        <f t="shared" ref="G55" si="473">10^($D$12-$D$13/(D55-273.15+$D$14))</f>
        <v>607.22270842207331</v>
      </c>
      <c r="H55" s="31">
        <f t="shared" ref="H55" si="474">A55*I55*E55+B55*J55*F55+C55*K55*G55</f>
        <v>760.00000011157374</v>
      </c>
      <c r="I55" s="25">
        <v>1.9349277800858669</v>
      </c>
      <c r="J55" s="25">
        <v>1.216904287127367</v>
      </c>
      <c r="K55" s="25">
        <v>1.3826022038977157</v>
      </c>
      <c r="L55" s="8">
        <f t="shared" ref="L55" si="475">E55*I55/$H55</f>
        <v>0.96060034067187183</v>
      </c>
      <c r="M55" s="8">
        <f t="shared" ref="M55" si="476">F55*J55/$H55</f>
        <v>0.53736229467699492</v>
      </c>
      <c r="N55" s="8">
        <f t="shared" ref="N55" si="477">G55*K55/$H55</f>
        <v>1.1046677036813772</v>
      </c>
      <c r="O55" s="10">
        <f t="shared" ref="O55" si="478">(L55-1)*A55*$B$16</f>
        <v>2.5097436650396887E-3</v>
      </c>
      <c r="P55">
        <f t="shared" ref="P55" si="479">(M55-1)*B55*$B$16</f>
        <v>5.3196044199973463E-3</v>
      </c>
      <c r="Q55">
        <f t="shared" ref="Q55" si="480">(N55-1)*C55*$B$16</f>
        <v>-7.8293480850370207E-3</v>
      </c>
      <c r="T55" s="9"/>
    </row>
    <row r="56" spans="1:20">
      <c r="A56" s="27">
        <f t="shared" ref="A56" si="481">A57-O57</f>
        <v>0.42739698773024964</v>
      </c>
      <c r="B56">
        <f t="shared" ref="B56" si="482">B57-P57</f>
        <v>8.2317872073467732E-2</v>
      </c>
      <c r="C56">
        <f t="shared" ref="C56" si="483">1-A56-B56</f>
        <v>0.49028514019628255</v>
      </c>
      <c r="D56">
        <v>332.18843390917738</v>
      </c>
      <c r="E56" s="31">
        <f t="shared" ref="E56" si="484">10^($B$12-$B$13/(D56-273.15+$B$14))</f>
        <v>378.4983393499943</v>
      </c>
      <c r="F56" s="31">
        <f t="shared" ref="F56" si="485">10^($C$12-$C$13/(D56-273.15+$C$14))</f>
        <v>336.94743159021613</v>
      </c>
      <c r="G56" s="31">
        <f t="shared" ref="G56" si="486">10^($D$12-$D$13/(D56-273.15+$D$14))</f>
        <v>609.42641250260249</v>
      </c>
      <c r="H56" s="31">
        <f t="shared" ref="H56" si="487">A56*I56*E56+B56*J56*F56+C56*K56*G56</f>
        <v>760.00000010614463</v>
      </c>
      <c r="I56" s="25">
        <v>1.9223426098598908</v>
      </c>
      <c r="J56" s="25">
        <v>1.2213223924971701</v>
      </c>
      <c r="K56" s="25">
        <v>1.3894210703209511</v>
      </c>
      <c r="L56" s="8">
        <f t="shared" ref="L56" si="488">E56*I56/$H56</f>
        <v>0.95737300709484563</v>
      </c>
      <c r="M56" s="8">
        <f t="shared" ref="M56" si="489">F56*J56/$H56</f>
        <v>0.54147558320797973</v>
      </c>
      <c r="N56" s="8">
        <f t="shared" ref="N56" si="490">G56*K56/$H56</f>
        <v>1.1141446029249511</v>
      </c>
      <c r="O56" s="10">
        <f t="shared" ref="O56" si="491">(L56-1)*A56*$B$16</f>
        <v>2.7327972545492553E-3</v>
      </c>
      <c r="P56">
        <f t="shared" ref="P56" si="492">(M56-1)*B56*$B$16</f>
        <v>5.6617131426070387E-3</v>
      </c>
      <c r="Q56">
        <f t="shared" ref="Q56" si="493">(N56-1)*C56*$B$16</f>
        <v>-8.3945103971562983E-3</v>
      </c>
      <c r="T56" s="9"/>
    </row>
    <row r="57" spans="1:20">
      <c r="A57" s="27">
        <f t="shared" ref="A57" si="494">A58-O58</f>
        <v>0.43037365062345811</v>
      </c>
      <c r="B57">
        <f t="shared" ref="B57" si="495">B58-P58</f>
        <v>8.8333601631261624E-2</v>
      </c>
      <c r="C57">
        <f t="shared" ref="C57" si="496">1-A57-B57</f>
        <v>0.48129274774528025</v>
      </c>
      <c r="D57">
        <v>332.28420064439803</v>
      </c>
      <c r="E57" s="31">
        <f t="shared" ref="E57" si="497">10^($B$12-$B$13/(D57-273.15+$B$14))</f>
        <v>379.79068841518574</v>
      </c>
      <c r="F57" s="31">
        <f t="shared" ref="F57" si="498">10^($C$12-$C$13/(D57-273.15+$C$14))</f>
        <v>338.40488820582709</v>
      </c>
      <c r="G57" s="31">
        <f t="shared" ref="G57" si="499">10^($D$12-$D$13/(D57-273.15+$D$14))</f>
        <v>611.81248887928075</v>
      </c>
      <c r="H57" s="31">
        <f t="shared" ref="H57" si="500">A57*I57*E57+B57*J57*F57+C57*K57*G57</f>
        <v>760.00000010055646</v>
      </c>
      <c r="I57" s="25">
        <v>1.908831932967098</v>
      </c>
      <c r="J57" s="25">
        <v>1.2261876097748778</v>
      </c>
      <c r="K57" s="25">
        <v>1.3969390300707936</v>
      </c>
      <c r="L57" s="8">
        <f t="shared" ref="L57" si="501">E57*I57/$H57</f>
        <v>0.9538902549928211</v>
      </c>
      <c r="M57" s="8">
        <f t="shared" ref="M57" si="502">F57*J57/$H57</f>
        <v>0.54598405388202065</v>
      </c>
      <c r="N57" s="8">
        <f t="shared" ref="N57" si="503">G57*K57/$H57</f>
        <v>1.1245588745883408</v>
      </c>
      <c r="O57" s="10">
        <f t="shared" ref="O57" si="504">(L57-1)*A57*$B$16</f>
        <v>2.9766628932084531E-3</v>
      </c>
      <c r="P57">
        <f t="shared" ref="P57" si="505">(M57-1)*B57*$B$16</f>
        <v>6.0157295577938892E-3</v>
      </c>
      <c r="Q57">
        <f t="shared" ref="Q57" si="506">(N57-1)*C57*$B$16</f>
        <v>-8.9923924510023449E-3</v>
      </c>
      <c r="T57" s="9"/>
    </row>
    <row r="58" spans="1:20">
      <c r="A58" s="27">
        <f t="shared" ref="A58" si="507">A59-O59</f>
        <v>0.43361704447338134</v>
      </c>
      <c r="B58">
        <f t="shared" ref="B58" si="508">B59-P59</f>
        <v>9.4713533170551117E-2</v>
      </c>
      <c r="C58">
        <f t="shared" ref="C58" si="509">1-A58-B58</f>
        <v>0.47166942235606757</v>
      </c>
      <c r="D58">
        <v>332.38754286894743</v>
      </c>
      <c r="E58" s="31">
        <f t="shared" ref="E58" si="510">10^($B$12-$B$13/(D58-273.15+$B$14))</f>
        <v>381.18921455441239</v>
      </c>
      <c r="F58" s="31">
        <f t="shared" ref="F58" si="511">10^($C$12-$C$13/(D58-273.15+$C$14))</f>
        <v>339.98360292288328</v>
      </c>
      <c r="G58" s="31">
        <f t="shared" ref="G58" si="512">10^($D$12-$D$13/(D58-273.15+$D$14))</f>
        <v>614.39606791571737</v>
      </c>
      <c r="H58" s="31">
        <f t="shared" ref="H58" si="513">A58*I58*E58+B58*J58*F58+C58*K58*G58</f>
        <v>760.0000000948246</v>
      </c>
      <c r="I58" s="25">
        <v>1.8943402019960178</v>
      </c>
      <c r="J58" s="25">
        <v>1.2315530363296967</v>
      </c>
      <c r="K58" s="25">
        <v>1.4052395167139295</v>
      </c>
      <c r="L58" s="8">
        <f t="shared" ref="L58" si="514">E58*I58/$H58</f>
        <v>0.95013428106264841</v>
      </c>
      <c r="M58" s="8">
        <f t="shared" ref="M58" si="515">F58*J58/$H58</f>
        <v>0.55093136635492768</v>
      </c>
      <c r="N58" s="8">
        <f t="shared" ref="N58" si="516">G58*K58/$H58</f>
        <v>1.136017938738288</v>
      </c>
      <c r="O58" s="10">
        <f t="shared" ref="O58" si="517">(L58-1)*A58*$B$16</f>
        <v>3.2433938499232076E-3</v>
      </c>
      <c r="P58">
        <f t="shared" ref="P58" si="518">(M58-1)*B58*$B$16</f>
        <v>6.3799315392894943E-3</v>
      </c>
      <c r="Q58">
        <f t="shared" ref="Q58" si="519">(N58-1)*C58*$B$16</f>
        <v>-9.6233253892126953E-3</v>
      </c>
      <c r="T58" s="9"/>
    </row>
    <row r="59" spans="1:20">
      <c r="A59" s="27">
        <f t="shared" ref="A59" si="520">A60-O60</f>
        <v>0.43715229587308752</v>
      </c>
      <c r="B59">
        <f t="shared" ref="B59" si="521">B60-P60</f>
        <v>0.10146555164425514</v>
      </c>
      <c r="C59">
        <f t="shared" ref="C59" si="522">1-A59-B59</f>
        <v>0.46138215248265729</v>
      </c>
      <c r="D59">
        <v>332.49903207333745</v>
      </c>
      <c r="E59" s="31">
        <f t="shared" ref="E59" si="523">10^($B$12-$B$13/(D59-273.15+$B$14))</f>
        <v>382.70259828361844</v>
      </c>
      <c r="F59" s="31">
        <f t="shared" ref="F59" si="524">10^($C$12-$C$13/(D59-273.15+$C$14))</f>
        <v>341.69374444172047</v>
      </c>
      <c r="G59" s="31">
        <f t="shared" ref="G59" si="525">10^($D$12-$D$13/(D59-273.15+$D$14))</f>
        <v>617.19354319931529</v>
      </c>
      <c r="H59" s="31">
        <f t="shared" ref="H59" si="526">A59*I59*E59+B59*J59*F59+C59*K59*G59</f>
        <v>760.00000008897598</v>
      </c>
      <c r="I59" s="25">
        <v>1.8788110164413039</v>
      </c>
      <c r="J59" s="25">
        <v>1.2374794861878982</v>
      </c>
      <c r="K59" s="25">
        <v>1.4144179434645598</v>
      </c>
      <c r="L59" s="8">
        <f t="shared" ref="L59" si="527">E59*I59/$H59</f>
        <v>0.94608665472604492</v>
      </c>
      <c r="M59" s="8">
        <f t="shared" ref="M59" si="528">F59*J59/$H59</f>
        <v>0.55636710428402092</v>
      </c>
      <c r="N59" s="8">
        <f t="shared" ref="N59" si="529">G59*K59/$H59</f>
        <v>1.1486442394597089</v>
      </c>
      <c r="O59" s="10">
        <f t="shared" ref="O59" si="530">(L59-1)*A59*$B$16</f>
        <v>3.5352513997061906E-3</v>
      </c>
      <c r="P59">
        <f t="shared" ref="P59" si="531">(M59-1)*B59*$B$16</f>
        <v>6.752018473704019E-3</v>
      </c>
      <c r="Q59">
        <f t="shared" ref="Q59" si="532">(N59-1)*C59*$B$16</f>
        <v>-1.0287269873410209E-2</v>
      </c>
      <c r="T59" s="9"/>
    </row>
    <row r="60" spans="1:20">
      <c r="A60" s="27">
        <f t="shared" ref="A60" si="533">A61-O61</f>
        <v>0.44100701964424199</v>
      </c>
      <c r="B60">
        <f t="shared" ref="B60" si="534">B61-P61</f>
        <v>0.10859454833678475</v>
      </c>
      <c r="C60">
        <f t="shared" ref="C60" si="535">1-A60-B60</f>
        <v>0.45039843201897334</v>
      </c>
      <c r="D60">
        <v>332.61927844606407</v>
      </c>
      <c r="E60" s="31">
        <f t="shared" ref="E60" si="536">10^($B$12-$B$13/(D60-273.15+$B$14))</f>
        <v>384.34022358919043</v>
      </c>
      <c r="F60" s="31">
        <f t="shared" ref="F60" si="537">10^($C$12-$C$13/(D60-273.15+$C$14))</f>
        <v>343.54634807550906</v>
      </c>
      <c r="G60" s="31">
        <f t="shared" ref="G60" si="538">10^($D$12-$D$13/(D60-273.15+$D$14))</f>
        <v>620.22267792447133</v>
      </c>
      <c r="H60" s="31">
        <f t="shared" ref="H60" si="539">A60*I60*E60+B60*J60*F60+C60*K60*G60</f>
        <v>760.00000008303346</v>
      </c>
      <c r="I60" s="25">
        <v>1.8621876796984931</v>
      </c>
      <c r="J60" s="25">
        <v>1.2440368498702192</v>
      </c>
      <c r="K60" s="25">
        <v>1.424583763292276</v>
      </c>
      <c r="L60" s="8">
        <f t="shared" ref="L60" si="540">E60*I60/$H60</f>
        <v>0.94172845934494687</v>
      </c>
      <c r="M60" s="8">
        <f t="shared" ref="M60" si="541">F60*J60/$H60</f>
        <v>0.56234778499681637</v>
      </c>
      <c r="N60" s="8">
        <f t="shared" ref="N60" si="542">G60*K60/$H60</f>
        <v>1.1625778375004261</v>
      </c>
      <c r="O60" s="10">
        <f t="shared" ref="O60" si="543">(L60-1)*A60*$B$16</f>
        <v>3.8547237711544892E-3</v>
      </c>
      <c r="P60">
        <f t="shared" ref="P60" si="544">(M60-1)*B60*$B$16</f>
        <v>7.1289966925296199E-3</v>
      </c>
      <c r="Q60">
        <f t="shared" ref="Q60" si="545">(N60-1)*C60*$B$16</f>
        <v>-1.0983720463684102E-2</v>
      </c>
      <c r="T60" s="9"/>
    </row>
    <row r="61" spans="1:20">
      <c r="A61" s="27">
        <f t="shared" ref="A61" si="546">A62-O62</f>
        <v>0.44521156538411405</v>
      </c>
      <c r="B61">
        <f t="shared" ref="B61" si="547">B62-P62</f>
        <v>0.1161015948285295</v>
      </c>
      <c r="C61">
        <f t="shared" ref="C61" si="548">1-A61-B61</f>
        <v>0.43868683978735651</v>
      </c>
      <c r="D61">
        <v>332.74893275672309</v>
      </c>
      <c r="E61" s="31">
        <f t="shared" ref="E61" si="549">10^($B$12-$B$13/(D61-273.15+$B$14))</f>
        <v>386.1122334621765</v>
      </c>
      <c r="F61" s="31">
        <f t="shared" ref="F61" si="550">10^($C$12-$C$13/(D61-273.15+$C$14))</f>
        <v>345.55339121108824</v>
      </c>
      <c r="G61" s="31">
        <f t="shared" ref="G61" si="551">10^($D$12-$D$13/(D61-273.15+$D$14))</f>
        <v>623.5027198030964</v>
      </c>
      <c r="H61" s="31">
        <f t="shared" ref="H61" si="552">A61*I61*E61+B61*J61*F61+C61*K61*G61</f>
        <v>760.00000007702897</v>
      </c>
      <c r="I61" s="25">
        <v>1.8444138925243858</v>
      </c>
      <c r="J61" s="25">
        <v>1.2513057325938017</v>
      </c>
      <c r="K61" s="25">
        <v>1.435862942300097</v>
      </c>
      <c r="L61" s="8">
        <f t="shared" ref="L61" si="553">E61*I61/$H61</f>
        <v>0.93704048341983959</v>
      </c>
      <c r="M61" s="8">
        <f t="shared" ref="M61" si="554">F61*J61/$H61</f>
        <v>0.56893807802084029</v>
      </c>
      <c r="N61" s="8">
        <f t="shared" ref="N61" si="555">G61*K61/$H61</f>
        <v>1.1779795390761163</v>
      </c>
      <c r="O61" s="10">
        <f t="shared" ref="O61" si="556">(L61-1)*A61*$B$16</f>
        <v>4.2045457398720452E-3</v>
      </c>
      <c r="P61">
        <f t="shared" ref="P61" si="557">(M61-1)*B61*$B$16</f>
        <v>7.5070464917447385E-3</v>
      </c>
      <c r="Q61">
        <f t="shared" ref="Q61" si="558">(N61-1)*C61*$B$16</f>
        <v>-1.1711592231616767E-2</v>
      </c>
      <c r="T61" s="9"/>
    </row>
    <row r="62" spans="1:20">
      <c r="A62" s="27">
        <f t="shared" ref="A62" si="559">A63-O63</f>
        <v>0.44979928384810408</v>
      </c>
      <c r="B62">
        <f t="shared" ref="B62" si="560">B63-P63</f>
        <v>0.12398296339053064</v>
      </c>
      <c r="C62">
        <f t="shared" ref="C62" si="561">1-A62-B62</f>
        <v>0.42621775276136531</v>
      </c>
      <c r="D62">
        <v>332.88868817243446</v>
      </c>
      <c r="E62" s="31">
        <f t="shared" ref="E62" si="562">10^($B$12-$B$13/(D62-273.15+$B$14))</f>
        <v>388.02958906672177</v>
      </c>
      <c r="F62" s="31">
        <f t="shared" ref="F62" si="563">10^($C$12-$C$13/(D62-273.15+$C$14))</f>
        <v>347.72787497891545</v>
      </c>
      <c r="G62" s="31">
        <f t="shared" ref="G62" si="564">10^($D$12-$D$13/(D62-273.15+$D$14))</f>
        <v>627.05452471575643</v>
      </c>
      <c r="H62" s="31">
        <f t="shared" ref="H62" si="565">A62*I62*E62+B62*J62*F62+C62*K62*G62</f>
        <v>760.00000007100311</v>
      </c>
      <c r="I62" s="25">
        <v>1.8254346020805927</v>
      </c>
      <c r="J62" s="25">
        <v>1.2593794347672496</v>
      </c>
      <c r="K62" s="25">
        <v>1.4484009410629026</v>
      </c>
      <c r="L62" s="8">
        <f t="shared" ref="L62" si="566">E62*I62/$H62</f>
        <v>0.93200347164122632</v>
      </c>
      <c r="M62" s="8">
        <f t="shared" ref="M62" si="567">F62*J62/$H62</f>
        <v>0.5762122823721717</v>
      </c>
      <c r="N62" s="8">
        <f t="shared" ref="N62" si="568">G62*K62/$H62</f>
        <v>1.1950346889621073</v>
      </c>
      <c r="O62" s="10">
        <f t="shared" ref="O62" si="569">(L62-1)*A62*$B$16</f>
        <v>4.5877184639900549E-3</v>
      </c>
      <c r="P62">
        <f t="shared" ref="P62" si="570">(M62-1)*B62*$B$16</f>
        <v>7.8813685620011346E-3</v>
      </c>
      <c r="Q62">
        <f t="shared" ref="Q62" si="571">(N62-1)*C62*$B$16</f>
        <v>-1.2469087025991183E-2</v>
      </c>
      <c r="T62" s="9"/>
    </row>
    <row r="63" spans="1:20">
      <c r="A63" s="27">
        <f t="shared" ref="A63" si="572">A64-O64</f>
        <v>0.45480681282737662</v>
      </c>
      <c r="B63">
        <f t="shared" ref="B63" si="573">B64-P64</f>
        <v>0.13222897109859849</v>
      </c>
      <c r="C63">
        <f t="shared" ref="C63" si="574">1-A63-B63</f>
        <v>0.41296421607402495</v>
      </c>
      <c r="D63">
        <v>333.03928194842939</v>
      </c>
      <c r="E63" s="31">
        <f t="shared" ref="E63" si="575">10^($B$12-$B$13/(D63-273.15+$B$14))</f>
        <v>390.10413232028969</v>
      </c>
      <c r="F63" s="31">
        <f t="shared" ref="F63" si="576">10^($C$12-$C$13/(D63-273.15+$C$14))</f>
        <v>350.08391219929206</v>
      </c>
      <c r="G63" s="31">
        <f t="shared" ref="G63" si="577">10^($D$12-$D$13/(D63-273.15+$D$14))</f>
        <v>630.90068899730181</v>
      </c>
      <c r="H63" s="31">
        <f t="shared" ref="H63" si="578">A63*I63*E63+B63*J63*F63+C63*K63*G63</f>
        <v>760.00000006498658</v>
      </c>
      <c r="I63" s="25">
        <v>1.8051970260804009</v>
      </c>
      <c r="J63" s="25">
        <v>1.268366355050166</v>
      </c>
      <c r="K63" s="25">
        <v>1.4623663232417916</v>
      </c>
      <c r="L63" s="8">
        <f t="shared" ref="L63" si="579">E63*I63/$H63</f>
        <v>0.92659844666584967</v>
      </c>
      <c r="M63" s="8">
        <f t="shared" ref="M63" si="580">F63*J63/$H63</f>
        <v>0.5842561258420389</v>
      </c>
      <c r="N63" s="8">
        <f t="shared" ref="N63" si="581">G63*K63/$H63</f>
        <v>1.2139577905536925</v>
      </c>
      <c r="O63" s="10">
        <f t="shared" ref="O63" si="582">(L63-1)*A63*$B$16</f>
        <v>5.0075289792725413E-3</v>
      </c>
      <c r="P63">
        <f t="shared" ref="P63" si="583">(M63-1)*B63*$B$16</f>
        <v>8.2460077080678609E-3</v>
      </c>
      <c r="Q63">
        <f t="shared" ref="Q63" si="584">(N63-1)*C63*$B$16</f>
        <v>-1.3253536687340403E-2</v>
      </c>
      <c r="T63" s="9"/>
    </row>
    <row r="64" spans="1:20">
      <c r="A64" s="27">
        <f t="shared" ref="A64" si="585">A65-O65</f>
        <v>0.46027438136899917</v>
      </c>
      <c r="B64">
        <f t="shared" ref="B64" si="586">B65-P65</f>
        <v>0.14082262308538973</v>
      </c>
      <c r="C64">
        <f t="shared" ref="C64" si="587">1-A64-B64</f>
        <v>0.39890299554561115</v>
      </c>
      <c r="D64">
        <v>333.2014969088923</v>
      </c>
      <c r="E64" s="31">
        <f t="shared" ref="E64" si="588">10^($B$12-$B$13/(D64-273.15+$B$14))</f>
        <v>392.34865136023507</v>
      </c>
      <c r="F64" s="31">
        <f t="shared" ref="F64" si="589">10^($C$12-$C$13/(D64-273.15+$C$14))</f>
        <v>352.63682136503945</v>
      </c>
      <c r="G64" s="31">
        <f t="shared" ref="G64" si="590">10^($D$12-$D$13/(D64-273.15+$D$14))</f>
        <v>635.06568972433763</v>
      </c>
      <c r="H64" s="31">
        <f t="shared" ref="H64" si="591">A64*I64*E64+B64*J64*F64+C64*K64*G64</f>
        <v>760.00000005902166</v>
      </c>
      <c r="I64" s="25">
        <v>1.7836518711623044</v>
      </c>
      <c r="J64" s="25">
        <v>1.2783929173118742</v>
      </c>
      <c r="K64" s="25">
        <v>1.477955142711475</v>
      </c>
      <c r="L64" s="8">
        <f t="shared" ref="L64" si="592">E64*I64/$H64</f>
        <v>0.92080711327939779</v>
      </c>
      <c r="M64" s="8">
        <f t="shared" ref="M64" si="593">F64*J64/$H64</f>
        <v>0.59316896681767006</v>
      </c>
      <c r="N64" s="8">
        <f t="shared" ref="N64" si="594">G64*K64/$H64</f>
        <v>1.2349981605457936</v>
      </c>
      <c r="O64" s="10">
        <f t="shared" ref="O64" si="595">(L64-1)*A64*$B$16</f>
        <v>5.4675685416225609E-3</v>
      </c>
      <c r="P64">
        <f t="shared" ref="P64" si="596">(M64-1)*B64*$B$16</f>
        <v>8.5936519867912398E-3</v>
      </c>
      <c r="Q64">
        <f t="shared" ref="Q64" si="597">(N64-1)*C64*$B$16</f>
        <v>-1.4061220528413826E-2</v>
      </c>
      <c r="T64" s="9"/>
    </row>
    <row r="65" spans="1:20">
      <c r="A65" s="27">
        <f t="shared" ref="A65" si="598">A66-O66</f>
        <v>0.46624613008256011</v>
      </c>
      <c r="B65">
        <f t="shared" ref="B65" si="599">B66-P66</f>
        <v>0.14973802903884439</v>
      </c>
      <c r="C65">
        <f t="shared" ref="C65" si="600">1-A65-B65</f>
        <v>0.38401584087859553</v>
      </c>
      <c r="D65">
        <v>333.37616259899136</v>
      </c>
      <c r="E65" s="31">
        <f t="shared" ref="E65" si="601">10^($B$12-$B$13/(D65-273.15+$B$14))</f>
        <v>394.77694790502363</v>
      </c>
      <c r="F65" s="31">
        <f t="shared" ref="F65" si="602">10^($C$12-$C$13/(D65-273.15+$C$14))</f>
        <v>355.40322592527451</v>
      </c>
      <c r="G65" s="31">
        <f t="shared" ref="G65" si="603">10^($D$12-$D$13/(D65-273.15+$D$14))</f>
        <v>639.57603153937805</v>
      </c>
      <c r="H65" s="31">
        <f t="shared" ref="H65" si="604">A65*I65*E65+B65*J65*F65+C65*K65*G65</f>
        <v>760.00000005315997</v>
      </c>
      <c r="I65" s="25">
        <v>1.7607547631191776</v>
      </c>
      <c r="J65" s="25">
        <v>1.2896071501810444</v>
      </c>
      <c r="K65" s="25">
        <v>1.4953963021338683</v>
      </c>
      <c r="L65" s="8">
        <f t="shared" ref="L65" si="605">E65*I65/$H65</f>
        <v>0.91461235703263288</v>
      </c>
      <c r="M65" s="8">
        <f t="shared" ref="M65" si="606">F65*J65/$H65</f>
        <v>0.60306650173497911</v>
      </c>
      <c r="N65" s="8">
        <f t="shared" ref="N65" si="607">G65*K65/$H65</f>
        <v>1.258446884777028</v>
      </c>
      <c r="O65" s="10">
        <f t="shared" ref="O65" si="608">(L65-1)*A65*$B$16</f>
        <v>5.9717487135609367E-3</v>
      </c>
      <c r="P65">
        <f t="shared" ref="P65" si="609">(M65-1)*B65*$B$16</f>
        <v>8.9154059534546672E-3</v>
      </c>
      <c r="Q65">
        <f t="shared" ref="Q65" si="610">(N65-1)*C65*$B$16</f>
        <v>-1.4887154667015585E-2</v>
      </c>
      <c r="T65" s="9"/>
    </row>
    <row r="66" spans="1:20">
      <c r="A66" s="27">
        <f t="shared" ref="A66" si="611">A67-O67</f>
        <v>0.47277044380920868</v>
      </c>
      <c r="B66">
        <f t="shared" ref="B66" si="612">B67-P67</f>
        <v>0.15893856678616497</v>
      </c>
      <c r="C66">
        <f t="shared" ref="C66" si="613">1-A66-B66</f>
        <v>0.3682909894046264</v>
      </c>
      <c r="D66">
        <v>333.56415593965386</v>
      </c>
      <c r="E66" s="31">
        <f t="shared" ref="E66" si="614">10^($B$12-$B$13/(D66-273.15+$B$14))</f>
        <v>397.40390481960003</v>
      </c>
      <c r="F66" s="31">
        <f t="shared" ref="F66" si="615">10^($C$12-$C$13/(D66-273.15+$C$14))</f>
        <v>358.40115736610443</v>
      </c>
      <c r="G66" s="31">
        <f t="shared" ref="G66" si="616">10^($D$12-$D$13/(D66-273.15+$D$14))</f>
        <v>644.46039727385846</v>
      </c>
      <c r="H66" s="31">
        <f t="shared" ref="H66" si="617">A66*I66*E66+B66*J66*F66+C66*K66*G66</f>
        <v>760.0000000474397</v>
      </c>
      <c r="I66" s="25">
        <v>1.7364679036791901</v>
      </c>
      <c r="J66" s="25">
        <v>1.3021830837093924</v>
      </c>
      <c r="K66" s="25">
        <v>1.5149581308255997</v>
      </c>
      <c r="L66" s="8">
        <f t="shared" ref="L66" si="618">E66*I66/$H66</f>
        <v>0.90799884930649999</v>
      </c>
      <c r="M66" s="8">
        <f t="shared" ref="M66" si="619">F66*J66/$H66</f>
        <v>0.61408411088799619</v>
      </c>
      <c r="N66" s="8">
        <f t="shared" ref="N66" si="620">G66*K66/$H66</f>
        <v>1.2846454194528747</v>
      </c>
      <c r="O66" s="10">
        <f t="shared" ref="O66" si="621">(L66-1)*A66*$B$16</f>
        <v>6.5243137266485828E-3</v>
      </c>
      <c r="P66">
        <f t="shared" ref="P66" si="622">(M66-1)*B66*$B$16</f>
        <v>9.2005377473205682E-3</v>
      </c>
      <c r="Q66">
        <f t="shared" ref="Q66" si="623">(N66-1)*C66*$B$16</f>
        <v>-1.5724851473969115E-2</v>
      </c>
      <c r="T66" s="9"/>
    </row>
    <row r="67" spans="1:20">
      <c r="A67" s="27">
        <f t="shared" ref="A67" si="624">A68-O68</f>
        <v>0.47990029100974135</v>
      </c>
      <c r="B67">
        <f t="shared" ref="B67" si="625">B68-P68</f>
        <v>0.16837476830315343</v>
      </c>
      <c r="C67">
        <f t="shared" ref="C67" si="626">1-A67-B67</f>
        <v>0.35172494068710514</v>
      </c>
      <c r="D67">
        <v>333.76640114843229</v>
      </c>
      <c r="E67" s="31">
        <f t="shared" ref="E67" si="627">10^($B$12-$B$13/(D67-273.15+$B$14))</f>
        <v>400.24555117372256</v>
      </c>
      <c r="F67" s="31">
        <f t="shared" ref="F67" si="628">10^($C$12-$C$13/(D67-273.15+$C$14))</f>
        <v>361.65015943065742</v>
      </c>
      <c r="G67" s="31">
        <f t="shared" ref="G67" si="629">10^($D$12-$D$13/(D67-273.15+$D$14))</f>
        <v>649.74979774414385</v>
      </c>
      <c r="H67" s="31">
        <f t="shared" ref="H67" si="630">A67*I67*E67+B67*J67*F67+C67*K67*G67</f>
        <v>760.00000004191452</v>
      </c>
      <c r="I67" s="25">
        <v>1.7107619637976326</v>
      </c>
      <c r="J67" s="25">
        <v>1.3163261750349944</v>
      </c>
      <c r="K67" s="25">
        <v>1.5369565027408636</v>
      </c>
      <c r="L67" s="8">
        <f t="shared" ref="L67" si="631">E67*I67/$H67</f>
        <v>0.90095376985455311</v>
      </c>
      <c r="M67" s="8">
        <f t="shared" ref="M67" si="632">F67*J67/$H67</f>
        <v>0.62638101452355099</v>
      </c>
      <c r="N67" s="8">
        <f t="shared" ref="N67" si="633">G67*K67/$H67</f>
        <v>1.3139962851872991</v>
      </c>
      <c r="O67" s="10">
        <f t="shared" ref="O67" si="634">(L67-1)*A67*$B$16</f>
        <v>7.1298472005326659E-3</v>
      </c>
      <c r="P67">
        <f t="shared" ref="P67" si="635">(M67-1)*B67*$B$16</f>
        <v>9.436201516988452E-3</v>
      </c>
      <c r="Q67">
        <f t="shared" ref="Q67" si="636">(N67-1)*C67*$B$16</f>
        <v>-1.6566048717521115E-2</v>
      </c>
      <c r="T67" s="9"/>
    </row>
    <row r="68" spans="1:20">
      <c r="A68" s="27">
        <f t="shared" ref="A68" si="637">A69-O69</f>
        <v>0.48769356175468487</v>
      </c>
      <c r="B68">
        <f t="shared" ref="B68" si="638">B69-P69</f>
        <v>0.17798190784681411</v>
      </c>
      <c r="C68">
        <f t="shared" ref="C68" si="639">1-A68-B68</f>
        <v>0.33432453039850096</v>
      </c>
      <c r="D68">
        <v>333.98386859792447</v>
      </c>
      <c r="E68" s="31">
        <f t="shared" ref="E68" si="640">10^($B$12-$B$13/(D68-273.15+$B$14))</f>
        <v>403.31912063429252</v>
      </c>
      <c r="F68" s="31">
        <f t="shared" ref="F68" si="641">10^($C$12-$C$13/(D68-273.15+$C$14))</f>
        <v>365.17138914752957</v>
      </c>
      <c r="G68" s="31">
        <f t="shared" ref="G68" si="642">10^($D$12-$D$13/(D68-273.15+$D$14))</f>
        <v>655.47771338090695</v>
      </c>
      <c r="H68" s="31">
        <f t="shared" ref="H68" si="643">A68*I68*E68+B68*J68*F68+C68*K68*G68</f>
        <v>760.00000003662819</v>
      </c>
      <c r="I68" s="25">
        <v>1.683618216527464</v>
      </c>
      <c r="J68" s="25">
        <v>1.3322800381528026</v>
      </c>
      <c r="K68" s="25">
        <v>1.5617649133034675</v>
      </c>
      <c r="L68" s="8">
        <f t="shared" ref="L68" si="644">E68*I68/$H68</f>
        <v>0.89346765597500866</v>
      </c>
      <c r="M68" s="8">
        <f t="shared" ref="M68" si="645">F68*J68/$H68</f>
        <v>0.64014546347675694</v>
      </c>
      <c r="N68" s="8">
        <f t="shared" ref="N68" si="646">G68*K68/$H68</f>
        <v>1.3469764396859869</v>
      </c>
      <c r="O68" s="10">
        <f t="shared" ref="O68" si="647">(L68-1)*A68*$B$16</f>
        <v>7.7932707449435172E-3</v>
      </c>
      <c r="P68">
        <f t="shared" ref="P68" si="648">(M68-1)*B68*$B$16</f>
        <v>9.6071395436606762E-3</v>
      </c>
      <c r="Q68">
        <f t="shared" ref="Q68" si="649">(N68-1)*C68*$B$16</f>
        <v>-1.7400410288604205E-2</v>
      </c>
      <c r="T68" s="9"/>
    </row>
    <row r="69" spans="1:20">
      <c r="A69" s="27">
        <f t="shared" ref="A69" si="650">A70-O70</f>
        <v>0.49621339304460543</v>
      </c>
      <c r="B69">
        <f t="shared" ref="B69" si="651">B70-P70</f>
        <v>0.18767728072185846</v>
      </c>
      <c r="C69">
        <f t="shared" ref="C69" si="652">1-A69-B69</f>
        <v>0.3161093262335361</v>
      </c>
      <c r="D69">
        <v>334.21757216413602</v>
      </c>
      <c r="E69" s="31">
        <f t="shared" ref="E69" si="653">10^($B$12-$B$13/(D69-273.15+$B$14))</f>
        <v>406.64309705409636</v>
      </c>
      <c r="F69" s="31">
        <f t="shared" ref="F69" si="654">10^($C$12-$C$13/(D69-273.15+$C$14))</f>
        <v>368.98770800272501</v>
      </c>
      <c r="G69" s="31">
        <f t="shared" ref="G69" si="655">10^($D$12-$D$13/(D69-273.15+$D$14))</f>
        <v>661.68021659827991</v>
      </c>
      <c r="H69" s="31">
        <f t="shared" ref="H69" si="656">A69*I69*E69+B69*J69*F69+C69*K69*G69</f>
        <v>760.00000003163029</v>
      </c>
      <c r="I69" s="25">
        <v>1.6550309032288189</v>
      </c>
      <c r="J69" s="25">
        <v>1.350334838173628</v>
      </c>
      <c r="K69" s="25">
        <v>1.5898270665614564</v>
      </c>
      <c r="L69" s="8">
        <f t="shared" ref="L69" si="657">E69*I69/$H69</f>
        <v>0.88553538444894164</v>
      </c>
      <c r="M69" s="8">
        <f t="shared" ref="M69" si="658">F69*J69/$H69</f>
        <v>0.65560125914892198</v>
      </c>
      <c r="N69" s="8">
        <f t="shared" ref="N69" si="659">G69*K69/$H69</f>
        <v>1.3841541022531727</v>
      </c>
      <c r="O69" s="10">
        <f t="shared" ref="O69" si="660">(L69-1)*A69*$B$16</f>
        <v>8.5198312899205462E-3</v>
      </c>
      <c r="P69">
        <f t="shared" ref="P69" si="661">(M69-1)*B69*$B$16</f>
        <v>9.6953728750443537E-3</v>
      </c>
      <c r="Q69">
        <f t="shared" ref="Q69" si="662">(N69-1)*C69*$B$16</f>
        <v>-1.8215204164964902E-2</v>
      </c>
      <c r="T69" s="9"/>
    </row>
    <row r="70" spans="1:20">
      <c r="A70" s="27">
        <f t="shared" ref="A70" si="663">A71-O71</f>
        <v>0.50552846618450209</v>
      </c>
      <c r="B70">
        <f t="shared" ref="B70" si="664">B71-P71</f>
        <v>0.19735717676719686</v>
      </c>
      <c r="C70">
        <f t="shared" ref="C70" si="665">1-A70-B70</f>
        <v>0.29711435704830103</v>
      </c>
      <c r="D70">
        <v>334.46856447222882</v>
      </c>
      <c r="E70" s="31">
        <f t="shared" ref="E70" si="666">10^($B$12-$B$13/(D70-273.15+$B$14))</f>
        <v>410.23723855498895</v>
      </c>
      <c r="F70" s="31">
        <f t="shared" ref="F70" si="667">10^($C$12-$C$13/(D70-273.15+$C$14))</f>
        <v>373.12375349994335</v>
      </c>
      <c r="G70" s="31">
        <f t="shared" ref="G70" si="668">10^($D$12-$D$13/(D70-273.15+$D$14))</f>
        <v>668.39605888126425</v>
      </c>
      <c r="H70" s="31">
        <f t="shared" ref="H70" si="669">A70*I70*E70+B70*J70*F70+C70*K70*G70</f>
        <v>760.00000002696083</v>
      </c>
      <c r="I70" s="25">
        <v>1.6250098151069952</v>
      </c>
      <c r="J70" s="25">
        <v>1.3708378267116552</v>
      </c>
      <c r="K70" s="25">
        <v>1.6216727060645229</v>
      </c>
      <c r="L70" s="8">
        <f t="shared" ref="L70" si="670">E70*I70/$H70</f>
        <v>0.87715728835604989</v>
      </c>
      <c r="M70" s="8">
        <f t="shared" ref="M70" si="671">F70*J70/$H70</f>
        <v>0.67301599384764821</v>
      </c>
      <c r="N70" s="8">
        <f t="shared" ref="N70" si="672">G70*K70/$H70</f>
        <v>1.4262100598557765</v>
      </c>
      <c r="O70" s="10">
        <f t="shared" ref="O70" si="673">(L70-1)*A70*$B$16</f>
        <v>9.3150731398966759E-3</v>
      </c>
      <c r="P70">
        <f t="shared" ref="P70" si="674">(M70-1)*B70*$B$16</f>
        <v>9.679896045338381E-3</v>
      </c>
      <c r="Q70">
        <f t="shared" ref="Q70" si="675">(N70-1)*C70*$B$16</f>
        <v>-1.899496918523504E-2</v>
      </c>
      <c r="T70" s="9"/>
    </row>
    <row r="71" spans="1:20">
      <c r="A71" s="27">
        <f t="shared" ref="A71" si="676">A72-O72</f>
        <v>0.51571325582837413</v>
      </c>
      <c r="B71">
        <f t="shared" ref="B71" si="677">B72-P72</f>
        <v>0.20689357826335164</v>
      </c>
      <c r="C71">
        <f t="shared" ref="C71" si="678">1-A71-B71</f>
        <v>0.27739316590827423</v>
      </c>
      <c r="D71">
        <v>334.73792929010159</v>
      </c>
      <c r="E71" s="31">
        <f t="shared" ref="E71" si="679">10^($B$12-$B$13/(D71-273.15+$B$14))</f>
        <v>414.12256835781153</v>
      </c>
      <c r="F71" s="31">
        <f t="shared" ref="F71" si="680">10^($C$12-$C$13/(D71-273.15+$C$14))</f>
        <v>377.60597758614387</v>
      </c>
      <c r="G71" s="31">
        <f t="shared" ref="G71" si="681">10^($D$12-$D$13/(D71-273.15+$D$14))</f>
        <v>675.66670062295213</v>
      </c>
      <c r="H71" s="31">
        <f t="shared" ref="H71" si="682">A71*I71*E71+B71*J71*F71+C71*K71*G71</f>
        <v>760.00000002265813</v>
      </c>
      <c r="I71" s="25">
        <v>1.5935830582122821</v>
      </c>
      <c r="J71" s="25">
        <v>1.3942066552542673</v>
      </c>
      <c r="K71" s="25">
        <v>1.6579376750160899</v>
      </c>
      <c r="L71" s="8">
        <f t="shared" ref="L71" si="683">E71*I71/$H71</f>
        <v>0.86834040649827793</v>
      </c>
      <c r="M71" s="8">
        <f t="shared" ref="M71" si="684">F71*J71/$H71</f>
        <v>0.69271153552460518</v>
      </c>
      <c r="N71" s="8">
        <f t="shared" ref="N71" si="685">G71*K71/$H71</f>
        <v>1.473964840372648</v>
      </c>
      <c r="O71" s="10">
        <f t="shared" ref="O71" si="686">(L71-1)*A71*$B$16</f>
        <v>1.0184789643872001E-2</v>
      </c>
      <c r="P71">
        <f t="shared" ref="P71" si="687">(M71-1)*B71*$B$16</f>
        <v>9.5364014961547856E-3</v>
      </c>
      <c r="Q71">
        <f t="shared" ref="Q71" si="688">(N71-1)*C71*$B$16</f>
        <v>-1.9721191140026798E-2</v>
      </c>
      <c r="T71" s="9"/>
    </row>
    <row r="72" spans="1:20">
      <c r="A72" s="27">
        <f t="shared" ref="A72" si="689">A73-O73</f>
        <v>0.52684820365300966</v>
      </c>
      <c r="B72">
        <f t="shared" ref="B72" si="690">B73-P73</f>
        <v>0.21613065217642674</v>
      </c>
      <c r="C72">
        <f t="shared" ref="C72" si="691">1-A72-B72</f>
        <v>0.2570211441705636</v>
      </c>
      <c r="D72">
        <v>335.02677016168991</v>
      </c>
      <c r="E72" s="31">
        <f t="shared" ref="E72" si="692">10^($B$12-$B$13/(D72-273.15+$B$14))</f>
        <v>418.32131713161431</v>
      </c>
      <c r="F72" s="31">
        <f t="shared" ref="F72" si="693">10^($C$12-$C$13/(D72-273.15+$C$14))</f>
        <v>382.46263397661124</v>
      </c>
      <c r="G72" s="31">
        <f t="shared" ref="G72" si="694">10^($D$12-$D$13/(D72-273.15+$D$14))</f>
        <v>683.53625481639904</v>
      </c>
      <c r="H72" s="31">
        <f t="shared" ref="H72" si="695">A72*I72*E72+B72*J72*F72+C72*K72*G72</f>
        <v>759.99999913614533</v>
      </c>
      <c r="I72" s="25">
        <v>1.5607999553063956</v>
      </c>
      <c r="J72" s="25">
        <v>1.4209463264031816</v>
      </c>
      <c r="K72" s="25">
        <v>1.6993895446053009</v>
      </c>
      <c r="L72" s="8">
        <f t="shared" ref="L72" si="696">E72*I72/$H72</f>
        <v>0.85909986029588625</v>
      </c>
      <c r="M72" s="8">
        <f t="shared" ref="M72" si="697">F72*J72/$H72</f>
        <v>0.71507746757009671</v>
      </c>
      <c r="N72" s="8">
        <f t="shared" ref="N72" si="698">G72*K72/$H72</f>
        <v>1.5284136396236587</v>
      </c>
      <c r="O72" s="10">
        <f t="shared" ref="O72" si="699">(L72-1)*A72*$B$16</f>
        <v>1.1134947824635564E-2</v>
      </c>
      <c r="P72">
        <f t="shared" ref="P72" si="700">(M72-1)*B72*$B$16</f>
        <v>9.2370739130751139E-3</v>
      </c>
      <c r="Q72">
        <f t="shared" ref="Q72" si="701">(N72-1)*C72*$B$16</f>
        <v>-2.0372021737710695E-2</v>
      </c>
      <c r="T72" s="9"/>
    </row>
    <row r="73" spans="1:20">
      <c r="A73" s="27">
        <f t="shared" ref="A73" si="702">A74-O74</f>
        <v>0.53901978066023959</v>
      </c>
      <c r="B73">
        <f t="shared" ref="B73" si="703">B74-P74</f>
        <v>0.22488116759978047</v>
      </c>
      <c r="C73">
        <f t="shared" ref="C73" si="704">1-A73-B73</f>
        <v>0.23609905173997994</v>
      </c>
      <c r="D73">
        <v>335.33619459186372</v>
      </c>
      <c r="E73" s="31">
        <f t="shared" ref="E73" si="705">10^($B$12-$B$13/(D73-273.15+$B$14))</f>
        <v>422.85680319912558</v>
      </c>
      <c r="F73" s="31">
        <f t="shared" ref="F73" si="706">10^($C$12-$C$13/(D73-273.15+$C$14))</f>
        <v>387.72369759922788</v>
      </c>
      <c r="G73" s="31">
        <f t="shared" ref="G73" si="707">10^($D$12-$D$13/(D73-273.15+$D$14))</f>
        <v>692.05131803474262</v>
      </c>
      <c r="H73" s="31">
        <f t="shared" ref="H73" si="708">A73*I73*E73+B73*J73*F73+C73*K73*G73</f>
        <v>759.99999927200895</v>
      </c>
      <c r="I73" s="25">
        <v>1.5267340241275973</v>
      </c>
      <c r="J73" s="25">
        <v>1.4516709561127503</v>
      </c>
      <c r="K73" s="25">
        <v>1.7469606496570347</v>
      </c>
      <c r="L73" s="8">
        <f t="shared" ref="L73" si="709">E73*I73/$H73</f>
        <v>0.84946035446885793</v>
      </c>
      <c r="M73" s="8">
        <f t="shared" ref="M73" si="710">F73*J73/$H73</f>
        <v>0.74058846229024189</v>
      </c>
      <c r="N73" s="8">
        <f t="shared" ref="N73" si="711">G73*K73/$H73</f>
        <v>1.5907716069842746</v>
      </c>
      <c r="O73" s="10">
        <f t="shared" ref="O73" si="712">(L73-1)*A73*$B$16</f>
        <v>1.2171577007229963E-2</v>
      </c>
      <c r="P73">
        <f t="shared" ref="P73" si="713">(M73-1)*B73*$B$16</f>
        <v>8.7505154233537327E-3</v>
      </c>
      <c r="Q73">
        <f t="shared" ref="Q73" si="714">(N73-1)*C73*$B$16</f>
        <v>-2.0922092430583697E-2</v>
      </c>
      <c r="T73" s="9"/>
    </row>
    <row r="74" spans="1:20">
      <c r="A74" s="27">
        <f t="shared" ref="A74" si="715">A75-O75</f>
        <v>0.55232038893770274</v>
      </c>
      <c r="B74">
        <f t="shared" ref="B74" si="716">B75-P75</f>
        <v>0.23292305915294206</v>
      </c>
      <c r="C74">
        <f t="shared" ref="C74" si="717">1-A74-B74</f>
        <v>0.21475655190935519</v>
      </c>
      <c r="D74">
        <v>335.6672927505943</v>
      </c>
      <c r="E74" s="31">
        <f t="shared" ref="E74" si="718">10^($B$12-$B$13/(D74-273.15+$B$14))</f>
        <v>427.75322991569607</v>
      </c>
      <c r="F74" s="31">
        <f t="shared" ref="F74" si="719">10^($C$12-$C$13/(D74-273.15+$C$14))</f>
        <v>393.42069043568063</v>
      </c>
      <c r="G74" s="31">
        <f t="shared" ref="G74" si="720">10^($D$12-$D$13/(D74-273.15+$D$14))</f>
        <v>701.26064818311625</v>
      </c>
      <c r="H74" s="31">
        <f t="shared" ref="H74" si="721">A74*I74*E74+B74*J74*F74+C74*K74*G74</f>
        <v>759.9999993953636</v>
      </c>
      <c r="I74" s="25">
        <v>1.491485965652724</v>
      </c>
      <c r="J74" s="25">
        <v>1.4871319624780415</v>
      </c>
      <c r="K74" s="25">
        <v>1.8017910844028149</v>
      </c>
      <c r="L74" s="8">
        <f t="shared" ref="L74" si="722">E74*I74/$H74</f>
        <v>0.83945781538085573</v>
      </c>
      <c r="M74" s="8">
        <f t="shared" ref="M74" si="723">F74*J74/$H74</f>
        <v>0.76982695251650679</v>
      </c>
      <c r="N74" s="8">
        <f t="shared" ref="N74" si="724">G74*K74/$H74</f>
        <v>1.6625331378211918</v>
      </c>
      <c r="O74" s="10">
        <f t="shared" ref="O74" si="725">(L74-1)*A74*$B$16</f>
        <v>1.3300608277463136E-2</v>
      </c>
      <c r="P74">
        <f t="shared" ref="P74" si="726">(M74-1)*B74*$B$16</f>
        <v>8.0418915531615936E-3</v>
      </c>
      <c r="Q74">
        <f t="shared" ref="Q74" si="727">(N74-1)*C74*$B$16</f>
        <v>-2.1342499830624712E-2</v>
      </c>
      <c r="T74" s="9"/>
    </row>
    <row r="75" spans="1:20">
      <c r="A75" s="27">
        <f t="shared" ref="A75" si="728">A76-O76</f>
        <v>0.5668480335550774</v>
      </c>
      <c r="B75">
        <f t="shared" ref="B75" si="729">B76-P76</f>
        <v>0.23999648579693034</v>
      </c>
      <c r="C75">
        <f t="shared" ref="C75" si="730">1-A75-B75</f>
        <v>0.19315548064799226</v>
      </c>
      <c r="D75">
        <v>336.02111189225008</v>
      </c>
      <c r="E75" s="31">
        <f t="shared" ref="E75" si="731">10^($B$12-$B$13/(D75-273.15+$B$14))</f>
        <v>433.03541018964091</v>
      </c>
      <c r="F75" s="31">
        <f t="shared" ref="F75" si="732">10^($C$12-$C$13/(D75-273.15+$C$14))</f>
        <v>399.5864227100646</v>
      </c>
      <c r="G75" s="31">
        <f t="shared" ref="G75" si="733">10^($D$12-$D$13/(D75-273.15+$D$14))</f>
        <v>711.2147052020963</v>
      </c>
      <c r="H75" s="31">
        <f t="shared" ref="H75" si="734">A75*I75*E75+B75*J75*F75+C75*K75*G75</f>
        <v>759.99999950548033</v>
      </c>
      <c r="I75" s="25">
        <v>1.4551865992502924</v>
      </c>
      <c r="J75" s="25">
        <v>1.528254921865978</v>
      </c>
      <c r="K75" s="25">
        <v>1.865285232764291</v>
      </c>
      <c r="L75" s="8">
        <f t="shared" ref="L75" si="735">E75*I75/$H75</f>
        <v>0.82914121884058634</v>
      </c>
      <c r="M75" s="8">
        <f t="shared" ref="M75" si="736">F75*J75/$H75</f>
        <v>0.80351304949319535</v>
      </c>
      <c r="N75" s="8">
        <f t="shared" ref="N75" si="737">G75*K75/$H75</f>
        <v>1.7455503786861681</v>
      </c>
      <c r="O75" s="10">
        <f t="shared" ref="O75" si="738">(L75-1)*A75*$B$16</f>
        <v>1.452764461737464E-2</v>
      </c>
      <c r="P75">
        <f t="shared" ref="P75" si="739">(M75-1)*B75*$B$16</f>
        <v>7.073426643988274E-3</v>
      </c>
      <c r="Q75">
        <f t="shared" ref="Q75" si="740">(N75-1)*C75*$B$16</f>
        <v>-2.160107126136292E-2</v>
      </c>
      <c r="T75" s="9"/>
    </row>
    <row r="76" spans="1:20">
      <c r="A76" s="27">
        <f t="shared" ref="A76" si="741">A77-O77</f>
        <v>0.58270566098276633</v>
      </c>
      <c r="B76">
        <f t="shared" ref="B76" si="742">B77-P77</f>
        <v>0.24580191429384132</v>
      </c>
      <c r="C76">
        <f t="shared" ref="C76" si="743">1-A76-B76</f>
        <v>0.17149242472339235</v>
      </c>
      <c r="D76">
        <v>336.39862909752787</v>
      </c>
      <c r="E76" s="31">
        <f t="shared" ref="E76:E78" si="744">10^($B$12-$B$13/(D76-273.15+$B$14))</f>
        <v>438.7284488626679</v>
      </c>
      <c r="F76" s="31">
        <f t="shared" ref="F76:F78" si="745">10^($C$12-$C$13/(D76-273.15+$C$14))</f>
        <v>406.25468231295889</v>
      </c>
      <c r="G76" s="31">
        <f t="shared" ref="G76:G78" si="746">10^($D$12-$D$13/(D76-273.15+$D$14))</f>
        <v>721.9651097361384</v>
      </c>
      <c r="H76" s="31">
        <f t="shared" ref="H76:H78" si="747">A76*I76*E76+B76*J76*F76+C76*K76*G76</f>
        <v>760.0000000375851</v>
      </c>
      <c r="I76" s="25">
        <v>1.417999714645821</v>
      </c>
      <c r="J76" s="25">
        <v>1.5761882103344209</v>
      </c>
      <c r="K76" s="25">
        <v>1.939186865167984</v>
      </c>
      <c r="L76" s="8">
        <f t="shared" ref="L76:N77" si="748">E76*I76/$H76</f>
        <v>0.81857475692565862</v>
      </c>
      <c r="M76" s="8">
        <f t="shared" si="748"/>
        <v>0.84254452713575567</v>
      </c>
      <c r="N76" s="8">
        <f t="shared" si="748"/>
        <v>1.8421384971587431</v>
      </c>
      <c r="O76" s="10">
        <f t="shared" ref="O76:O78" si="749">(L76-1)*A76*$B$16</f>
        <v>1.585762742768897E-2</v>
      </c>
      <c r="P76">
        <f t="shared" ref="P76:P78" si="750">(M76-1)*B76*$B$16</f>
        <v>5.8054284969109868E-3</v>
      </c>
      <c r="Q76">
        <f t="shared" ref="Q76:Q78" si="751">(N76-1)*C76*$B$16</f>
        <v>-2.1663055924599977E-2</v>
      </c>
      <c r="T76" s="9"/>
    </row>
    <row r="77" spans="1:20">
      <c r="A77" s="29">
        <v>0.6</v>
      </c>
      <c r="B77" s="30">
        <v>0.25</v>
      </c>
      <c r="C77" s="40">
        <f>1-B77-A77</f>
        <v>0.15000000000000002</v>
      </c>
      <c r="D77" s="11">
        <v>336.80073098568442</v>
      </c>
      <c r="E77" s="32">
        <f t="shared" si="744"/>
        <v>444.85750768205105</v>
      </c>
      <c r="F77" s="32">
        <f t="shared" si="745"/>
        <v>413.46001642745819</v>
      </c>
      <c r="G77" s="32">
        <f t="shared" si="746"/>
        <v>733.56425323955887</v>
      </c>
      <c r="H77" s="32">
        <f t="shared" si="747"/>
        <v>759.99999990568108</v>
      </c>
      <c r="I77" s="26">
        <v>1.3801248810848383</v>
      </c>
      <c r="J77" s="26">
        <v>1.6323677488893023</v>
      </c>
      <c r="K77" s="26">
        <v>2.0256798766647059</v>
      </c>
      <c r="L77" s="12">
        <f t="shared" si="748"/>
        <v>0.8078406775862933</v>
      </c>
      <c r="M77" s="12">
        <f t="shared" si="748"/>
        <v>0.88805104783576827</v>
      </c>
      <c r="N77" s="12">
        <f t="shared" si="748"/>
        <v>1.9552188765952117</v>
      </c>
      <c r="O77" s="11">
        <f t="shared" si="749"/>
        <v>1.7294339017233602E-2</v>
      </c>
      <c r="P77" s="11">
        <f t="shared" si="750"/>
        <v>4.1980857061586895E-3</v>
      </c>
      <c r="Q77" s="11">
        <f t="shared" si="751"/>
        <v>-2.1492424723392266E-2</v>
      </c>
      <c r="T77" s="9"/>
    </row>
    <row r="78" spans="1:20">
      <c r="A78" s="10">
        <f t="shared" ref="A78" si="752">A77+O77</f>
        <v>0.61729433901723363</v>
      </c>
      <c r="B78" s="10">
        <f t="shared" ref="B78" si="753">B77+P77</f>
        <v>0.25419808570615871</v>
      </c>
      <c r="C78" s="10">
        <f t="shared" ref="C78" si="754">C77+Q77</f>
        <v>0.12850757527660775</v>
      </c>
      <c r="D78" s="10">
        <v>337.25391608854989</v>
      </c>
      <c r="E78" s="31">
        <f t="shared" si="744"/>
        <v>451.84656371636851</v>
      </c>
      <c r="F78" s="31">
        <f t="shared" si="745"/>
        <v>421.70939217069059</v>
      </c>
      <c r="G78" s="31">
        <f t="shared" si="746"/>
        <v>746.82271150299528</v>
      </c>
      <c r="H78" s="31">
        <f t="shared" si="747"/>
        <v>759.99999999196098</v>
      </c>
      <c r="I78" s="25">
        <v>1.3443877953927807</v>
      </c>
      <c r="J78" s="25">
        <v>1.693437922025451</v>
      </c>
      <c r="K78" s="25">
        <v>2.1202720356833433</v>
      </c>
      <c r="L78" s="8">
        <f t="shared" ref="L78" si="755">E78*I78/$H78</f>
        <v>0.79928553375904965</v>
      </c>
      <c r="M78" s="8">
        <f t="shared" ref="M78" si="756">F78*J78/$H78</f>
        <v>0.93965615366276867</v>
      </c>
      <c r="N78" s="8">
        <f t="shared" ref="N78" si="757">G78*K78/$H78</f>
        <v>2.0835096195128413</v>
      </c>
      <c r="O78" s="10">
        <f t="shared" si="749"/>
        <v>1.8584985565410644E-2</v>
      </c>
      <c r="P78" s="10">
        <f t="shared" si="750"/>
        <v>2.3008935334606203E-3</v>
      </c>
      <c r="Q78" s="10">
        <f t="shared" si="751"/>
        <v>-2.0885879098871261E-2</v>
      </c>
      <c r="T78" s="9"/>
    </row>
    <row r="79" spans="1:20">
      <c r="A79" s="10">
        <f t="shared" ref="A79" si="758">A78+O78</f>
        <v>0.63587932458264429</v>
      </c>
      <c r="B79" s="10">
        <f t="shared" ref="B79" si="759">B78+P78</f>
        <v>0.25649897923961934</v>
      </c>
      <c r="C79" s="10">
        <f t="shared" ref="C79" si="760">C78+Q78</f>
        <v>0.10762169617773648</v>
      </c>
      <c r="D79" s="10">
        <v>337.73977333558906</v>
      </c>
      <c r="E79" s="31">
        <f t="shared" ref="E79" si="761">10^($B$12-$B$13/(D79-273.15+$B$14))</f>
        <v>459.43608989317386</v>
      </c>
      <c r="F79" s="31">
        <f t="shared" ref="F79" si="762">10^($C$12-$C$13/(D79-273.15+$C$14))</f>
        <v>430.70694740068512</v>
      </c>
      <c r="G79" s="31">
        <f t="shared" ref="G79" si="763">10^($D$12-$D$13/(D79-273.15+$D$14))</f>
        <v>761.25820478979074</v>
      </c>
      <c r="H79" s="31">
        <f t="shared" ref="H79" si="764">A79*I79*E79+B79*J79*F79+C79*K79*G79</f>
        <v>759.99999973320871</v>
      </c>
      <c r="I79" s="25">
        <v>1.308708212307669</v>
      </c>
      <c r="J79" s="25">
        <v>1.7645350874381256</v>
      </c>
      <c r="K79" s="25">
        <v>2.2303471804580881</v>
      </c>
      <c r="L79" s="8">
        <f t="shared" ref="L79" si="765">E79*I79/$H79</f>
        <v>0.79114182116419851</v>
      </c>
      <c r="M79" s="8">
        <f t="shared" ref="M79" si="766">F79*J79/$H79</f>
        <v>0.99999673862982441</v>
      </c>
      <c r="N79" s="8">
        <f t="shared" ref="N79" si="767">G79*K79/$H79</f>
        <v>2.2340395937493658</v>
      </c>
      <c r="O79" s="10">
        <f t="shared" ref="O79" si="768">(L79-1)*A79*$B$16</f>
        <v>1.9921289653750587E-2</v>
      </c>
      <c r="P79" s="10">
        <f t="shared" ref="P79" si="769">(M79-1)*B79*$B$16</f>
        <v>1.254807181441686E-7</v>
      </c>
      <c r="Q79" s="10">
        <f t="shared" ref="Q79" si="770">(N79-1)*C79*$B$16</f>
        <v>-1.992141513446874E-2</v>
      </c>
      <c r="T79" s="9"/>
    </row>
    <row r="80" spans="1:20">
      <c r="A80" s="10">
        <f t="shared" ref="A80" si="771">A79+O79</f>
        <v>0.65580061423639491</v>
      </c>
      <c r="B80" s="10">
        <f t="shared" ref="B80" si="772">B79+P79</f>
        <v>0.25649910472033749</v>
      </c>
      <c r="C80" s="10">
        <f t="shared" ref="C80" si="773">C79+Q79</f>
        <v>8.7700281043267742E-2</v>
      </c>
      <c r="D80" s="10">
        <v>338.25811772030141</v>
      </c>
      <c r="E80" s="31">
        <f t="shared" ref="E80" si="774">10^($B$12-$B$13/(D80-273.15+$B$14))</f>
        <v>467.64433818206641</v>
      </c>
      <c r="F80" s="31">
        <f t="shared" ref="F80" si="775">10^($C$12-$C$13/(D80-273.15+$C$14))</f>
        <v>440.48368108769063</v>
      </c>
      <c r="G80" s="31">
        <f t="shared" ref="G80" si="776">10^($D$12-$D$13/(D80-273.15+$D$14))</f>
        <v>776.9144280300211</v>
      </c>
      <c r="H80" s="31">
        <f t="shared" ref="H80" si="777">A80*I80*E80+B80*J80*F80+C80*K80*G80</f>
        <v>759.99999981104611</v>
      </c>
      <c r="I80" s="25">
        <v>1.2733781039027272</v>
      </c>
      <c r="J80" s="25">
        <v>1.847625279900845</v>
      </c>
      <c r="K80" s="25">
        <v>2.3589290615150289</v>
      </c>
      <c r="L80" s="8">
        <f t="shared" ref="L80" si="778">E80*I80/$H80</f>
        <v>0.78353692210944448</v>
      </c>
      <c r="M80" s="8">
        <f t="shared" ref="M80" si="779">F80*J80/$H80</f>
        <v>1.070853664162817</v>
      </c>
      <c r="N80" s="8">
        <f t="shared" ref="N80" si="780">G80*K80/$H80</f>
        <v>2.4114289776920947</v>
      </c>
      <c r="O80" s="10">
        <f t="shared" ref="O80" si="781">(L80-1)*A80*$B$16</f>
        <v>2.1293492916019036E-2</v>
      </c>
      <c r="P80" s="10">
        <f t="shared" ref="P80" si="782">(M80-1)*B80*$B$16</f>
        <v>-2.7260852135877036E-3</v>
      </c>
      <c r="Q80" s="10">
        <f t="shared" ref="Q80" si="783">(N80-1)*C80*$B$16</f>
        <v>-1.8567407702431316E-2</v>
      </c>
      <c r="T80" s="9"/>
    </row>
    <row r="81" spans="1:20">
      <c r="A81" s="10">
        <f t="shared" ref="A81" si="784">A80+O80</f>
        <v>0.67709410715241392</v>
      </c>
      <c r="B81" s="10">
        <f t="shared" ref="B81" si="785">B80+P80</f>
        <v>0.2537730195067498</v>
      </c>
      <c r="C81" s="10">
        <f t="shared" ref="C81" si="786">C80+Q80</f>
        <v>6.9132873340836426E-2</v>
      </c>
      <c r="D81" s="10">
        <v>338.80741745140466</v>
      </c>
      <c r="E81" s="31">
        <f t="shared" ref="E81" si="787">10^($B$12-$B$13/(D81-273.15+$B$14))</f>
        <v>476.46936524795535</v>
      </c>
      <c r="F81" s="31">
        <f t="shared" ref="F81" si="788">10^($C$12-$C$13/(D81-273.15+$C$14))</f>
        <v>451.04733707371753</v>
      </c>
      <c r="G81" s="31">
        <f t="shared" ref="G81" si="789">10^($D$12-$D$13/(D81-273.15+$D$14))</f>
        <v>793.79731407203462</v>
      </c>
      <c r="H81" s="31">
        <f t="shared" ref="H81" si="790">A81*I81*E81+B81*J81*F81+C81*K81*G81</f>
        <v>759.99999986737998</v>
      </c>
      <c r="I81" s="25">
        <v>1.2387094106587515</v>
      </c>
      <c r="J81" s="25">
        <v>1.9451261586563044</v>
      </c>
      <c r="K81" s="25">
        <v>2.5097363624142779</v>
      </c>
      <c r="L81" s="8">
        <f t="shared" ref="L81" si="791">E81*I81/$H81</f>
        <v>0.77658827200820446</v>
      </c>
      <c r="M81" s="8">
        <f t="shared" ref="M81" si="792">F81*J81/$H81</f>
        <v>1.1543999661677002</v>
      </c>
      <c r="N81" s="8">
        <f t="shared" ref="N81" si="793">G81*K81/$H81</f>
        <v>2.6213447156065985</v>
      </c>
      <c r="O81" s="10">
        <f t="shared" ref="O81" si="794">(L81-1)*A81*$B$16</f>
        <v>2.2690614673797415E-2</v>
      </c>
      <c r="P81" s="10">
        <f t="shared" ref="P81" si="795">(M81-1)*B81*$B$16</f>
        <v>-5.8773818439175956E-3</v>
      </c>
      <c r="Q81" s="10">
        <f t="shared" ref="Q81" si="796">(N81-1)*C81*$B$16</f>
        <v>-1.6813232829879815E-2</v>
      </c>
      <c r="T81" s="9"/>
    </row>
    <row r="82" spans="1:20">
      <c r="A82" s="10">
        <f t="shared" ref="A82" si="797">A81+O81</f>
        <v>0.69978472182621132</v>
      </c>
      <c r="B82" s="10">
        <f t="shared" ref="B82" si="798">B81+P81</f>
        <v>0.24789563766283221</v>
      </c>
      <c r="C82" s="10">
        <f t="shared" ref="C82" si="799">C81+Q81</f>
        <v>5.2319640510956611E-2</v>
      </c>
      <c r="D82" s="10">
        <v>339.3845501420538</v>
      </c>
      <c r="E82" s="31">
        <f t="shared" ref="E82" si="800">10^($B$12-$B$13/(D82-273.15+$B$14))</f>
        <v>485.88335215712493</v>
      </c>
      <c r="F82" s="31">
        <f t="shared" ref="F82" si="801">10^($C$12-$C$13/(D82-273.15+$C$14))</f>
        <v>462.37492775981133</v>
      </c>
      <c r="G82" s="31">
        <f t="shared" ref="G82" si="802">10^($D$12-$D$13/(D82-273.15+$D$14))</f>
        <v>811.86351504043046</v>
      </c>
      <c r="H82" s="31">
        <f t="shared" ref="H82" si="803">A82*I82*E82+B82*J82*F82+C82*K82*G82</f>
        <v>759.9999999060459</v>
      </c>
      <c r="I82" s="25">
        <v>1.2050266729207957</v>
      </c>
      <c r="J82" s="25">
        <v>2.0600414295701555</v>
      </c>
      <c r="K82" s="25">
        <v>2.6873958094278372</v>
      </c>
      <c r="L82" s="8">
        <f t="shared" ref="L82" si="804">E82*I82/$H82</f>
        <v>0.77039789388142854</v>
      </c>
      <c r="M82" s="8">
        <f t="shared" ref="M82" si="805">F82*J82/$H82</f>
        <v>1.253304614865095</v>
      </c>
      <c r="N82" s="8">
        <f t="shared" ref="N82" si="806">G82*K82/$H82</f>
        <v>2.8707876426535908</v>
      </c>
      <c r="O82" s="10">
        <f t="shared" ref="O82" si="807">(L82-1)*A82*$B$16</f>
        <v>2.4100806894134519E-2</v>
      </c>
      <c r="P82" s="10">
        <f t="shared" ref="P82" si="808">(M82-1)*B82*$B$16</f>
        <v>-9.4189663537381282E-3</v>
      </c>
      <c r="Q82" s="10">
        <f t="shared" ref="Q82" si="809">(N82-1)*C82*$B$16</f>
        <v>-1.4681840540396373E-2</v>
      </c>
      <c r="T82" s="9"/>
    </row>
    <row r="83" spans="1:20">
      <c r="A83" s="10">
        <f t="shared" ref="A83" si="810">A82+O82</f>
        <v>0.72388552872034584</v>
      </c>
      <c r="B83" s="10">
        <f t="shared" ref="B83" si="811">B82+P82</f>
        <v>0.23847667130909408</v>
      </c>
      <c r="C83" s="10">
        <f t="shared" ref="C83" si="812">C82+Q82</f>
        <v>3.7637799970560236E-2</v>
      </c>
      <c r="D83" s="10">
        <v>339.98503362483984</v>
      </c>
      <c r="E83" s="31">
        <f t="shared" ref="E83" si="813">10^($B$12-$B$13/(D83-273.15+$B$14))</f>
        <v>495.8341586354756</v>
      </c>
      <c r="F83" s="31">
        <f t="shared" ref="F83" si="814">10^($C$12-$C$13/(D83-273.15+$C$14))</f>
        <v>474.41370580590279</v>
      </c>
      <c r="G83" s="31">
        <f t="shared" ref="G83" si="815">10^($D$12-$D$13/(D83-273.15+$D$14))</f>
        <v>831.0225218687699</v>
      </c>
      <c r="H83" s="31">
        <f t="shared" ref="H83" si="816">A83*I83*E83+B83*J83*F83+C83*K83*G83</f>
        <v>759.99999993143695</v>
      </c>
      <c r="I83" s="25">
        <v>1.1726595076664619</v>
      </c>
      <c r="J83" s="25">
        <v>2.1961516351303776</v>
      </c>
      <c r="K83" s="25">
        <v>2.8977528674918731</v>
      </c>
      <c r="L83" s="8">
        <f t="shared" ref="L83" si="817">E83*I83/$H83</f>
        <v>0.76505873737124475</v>
      </c>
      <c r="M83" s="8">
        <f t="shared" ref="M83" si="818">F83*J83/$H83</f>
        <v>1.370900573457748</v>
      </c>
      <c r="N83" s="8">
        <f t="shared" ref="N83" si="819">G83*K83/$H83</f>
        <v>3.1685498630431597</v>
      </c>
      <c r="O83" s="10">
        <f t="shared" ref="O83" si="820">(L83-1)*A83*$B$16</f>
        <v>2.5510587017436318E-2</v>
      </c>
      <c r="P83" s="10">
        <f t="shared" ref="P83" si="821">(M83-1)*B83*$B$16</f>
        <v>-1.3267670121725679E-2</v>
      </c>
      <c r="Q83" s="10">
        <f t="shared" ref="Q83" si="822">(N83-1)*C83*$B$16</f>
        <v>-1.2242916895710635E-2</v>
      </c>
    </row>
    <row r="84" spans="1:20">
      <c r="A84" s="10">
        <f t="shared" ref="A84" si="823">A83+O83</f>
        <v>0.7493961157377822</v>
      </c>
      <c r="B84" s="10">
        <f t="shared" ref="B84" si="824">B83+P83</f>
        <v>0.22520900118736842</v>
      </c>
      <c r="C84" s="10">
        <f t="shared" ref="C84" si="825">C83+Q83</f>
        <v>2.5394883074849599E-2</v>
      </c>
      <c r="D84" s="10">
        <v>340.60433029402725</v>
      </c>
      <c r="E84" s="31">
        <f t="shared" ref="E84" si="826">10^($B$12-$B$13/(D84-273.15+$B$14))</f>
        <v>506.26518802749746</v>
      </c>
      <c r="F84" s="31">
        <f t="shared" ref="F84" si="827">10^($C$12-$C$13/(D84-273.15+$C$14))</f>
        <v>487.10444215521289</v>
      </c>
      <c r="G84" s="31">
        <f t="shared" ref="G84" si="828">10^($D$12-$D$13/(D84-273.15+$D$14))</f>
        <v>851.17418776669535</v>
      </c>
      <c r="H84" s="31">
        <f t="shared" ref="H84" si="829">A84*I84*E84+B84*J84*F84+C84*K84*G84</f>
        <v>759.99999994809809</v>
      </c>
      <c r="I84" s="25">
        <v>1.1419378577534507</v>
      </c>
      <c r="J84" s="25">
        <v>2.3582810318147946</v>
      </c>
      <c r="K84" s="25">
        <v>3.1483209190316779</v>
      </c>
      <c r="L84" s="8">
        <f t="shared" ref="L84" si="830">E84*I84/$H84</f>
        <v>0.76068866356677578</v>
      </c>
      <c r="M84" s="8">
        <f t="shared" ref="M84" si="831">F84*J84/$H84</f>
        <v>1.5114857454287034</v>
      </c>
      <c r="N84" s="8">
        <f t="shared" ref="N84" si="832">G84*K84/$H84</f>
        <v>3.5260125016693302</v>
      </c>
      <c r="O84" s="10">
        <f t="shared" ref="O84" si="833">(L84-1)*A84*$B$16</f>
        <v>2.6900847896261373E-2</v>
      </c>
      <c r="P84" s="10">
        <f t="shared" ref="P84" si="834">(M84-1)*B84*$B$16</f>
        <v>-1.7278679077436233E-2</v>
      </c>
      <c r="Q84" s="10">
        <f t="shared" ref="Q84" si="835">(N84-1)*C84*$B$16</f>
        <v>-9.6221688188251452E-3</v>
      </c>
    </row>
    <row r="85" spans="1:20">
      <c r="A85" s="10">
        <f t="shared" ref="A85" si="836">A84+O84</f>
        <v>0.77629696363404355</v>
      </c>
      <c r="B85" s="10">
        <f t="shared" ref="B85" si="837">B84+P84</f>
        <v>0.20793032210993218</v>
      </c>
      <c r="C85" s="10">
        <f t="shared" ref="C85" si="838">C84+Q84</f>
        <v>1.5772714256024452E-2</v>
      </c>
      <c r="D85" s="10">
        <v>341.24108160770294</v>
      </c>
      <c r="E85" s="31">
        <f t="shared" ref="E85" si="839">10^($B$12-$B$13/(D85-273.15+$B$14))</f>
        <v>517.17065310204123</v>
      </c>
      <c r="F85" s="31">
        <f t="shared" ref="F85" si="840">10^($C$12-$C$13/(D85-273.15+$C$14))</f>
        <v>500.44893734263599</v>
      </c>
      <c r="G85" s="31">
        <f t="shared" ref="G85" si="841">10^($D$12-$D$13/(D85-273.15+$D$14))</f>
        <v>872.31575904071451</v>
      </c>
      <c r="H85" s="31">
        <f t="shared" ref="H85" si="842">A85*I85*E85+B85*J85*F85+C85*K85*G85</f>
        <v>759.99999996074689</v>
      </c>
      <c r="I85" s="25">
        <v>1.1131945566523618</v>
      </c>
      <c r="J85" s="25">
        <v>2.5526440180414549</v>
      </c>
      <c r="K85" s="25">
        <v>3.4488895429724771</v>
      </c>
      <c r="L85" s="8">
        <f t="shared" ref="L85" si="843">E85*I85/$H85</f>
        <v>0.75751520516220261</v>
      </c>
      <c r="M85" s="8">
        <f t="shared" ref="M85" si="844">F85*J85/$H85</f>
        <v>1.6808789293537663</v>
      </c>
      <c r="N85" s="8">
        <f t="shared" ref="N85" si="845">G85*K85/$H85</f>
        <v>3.9585798680013236</v>
      </c>
      <c r="O85" s="10">
        <f t="shared" ref="O85" si="846">(L85-1)*A85*$B$16</f>
        <v>2.8236031494000918E-2</v>
      </c>
      <c r="P85" s="10">
        <f t="shared" ref="P85" si="847">(M85-1)*B85*$B$16</f>
        <v>-2.1236306264759156E-2</v>
      </c>
      <c r="Q85" s="10">
        <f t="shared" ref="Q85" si="848">(N85-1)*C85*$B$16</f>
        <v>-6.9997252292417125E-3</v>
      </c>
    </row>
    <row r="86" spans="1:20">
      <c r="A86" s="10">
        <f t="shared" ref="A86" si="849">A85+O85</f>
        <v>0.80453299512804444</v>
      </c>
      <c r="B86" s="10">
        <f t="shared" ref="B86" si="850">B85+P85</f>
        <v>0.18669401584517303</v>
      </c>
      <c r="C86" s="10">
        <f t="shared" ref="C86" si="851">C85+Q85</f>
        <v>8.7729890267827394E-3</v>
      </c>
      <c r="D86" s="10">
        <v>341.90319387054706</v>
      </c>
      <c r="E86" s="31">
        <f t="shared" ref="E86" si="852">10^($B$12-$B$13/(D86-273.15+$B$14))</f>
        <v>528.70681447259597</v>
      </c>
      <c r="F86" s="31">
        <f t="shared" ref="F86" si="853">10^($C$12-$C$13/(D86-273.15+$C$14))</f>
        <v>514.6490776574559</v>
      </c>
      <c r="G86" s="31">
        <f t="shared" ref="G86" si="854">10^($D$12-$D$13/(D86-273.15+$D$14))</f>
        <v>894.76033968761521</v>
      </c>
      <c r="H86" s="31">
        <f t="shared" ref="H86" si="855">A86*I86*E86+B86*J86*F86+C86*K86*G86</f>
        <v>759.99999997407963</v>
      </c>
      <c r="I86" s="25">
        <v>1.0867801421122134</v>
      </c>
      <c r="J86" s="25">
        <v>2.7872070397934365</v>
      </c>
      <c r="K86" s="25">
        <v>3.8122092021360108</v>
      </c>
      <c r="L86" s="8">
        <f t="shared" ref="L86" si="856">E86*I86/$H86</f>
        <v>0.75603693024713192</v>
      </c>
      <c r="M86" s="8">
        <f t="shared" ref="M86" si="857">F86*J86/$H86</f>
        <v>1.887412542524977</v>
      </c>
      <c r="N86" s="8">
        <f t="shared" ref="N86" si="858">G86*K86/$H86</f>
        <v>4.488175790499743</v>
      </c>
      <c r="O86" s="10">
        <f t="shared" ref="O86" si="859">(L86-1)*A86*$B$16</f>
        <v>2.9441450881336043E-2</v>
      </c>
      <c r="P86" s="10">
        <f t="shared" ref="P86" si="860">(M86-1)*B86*$B$16</f>
        <v>-2.4851191691304501E-2</v>
      </c>
      <c r="Q86" s="10">
        <f t="shared" ref="Q86" si="861">(N86-1)*C86*$B$16</f>
        <v>-4.5902591900315176E-3</v>
      </c>
    </row>
    <row r="87" spans="1:20">
      <c r="A87" s="10">
        <f t="shared" ref="A87" si="862">A86+O86</f>
        <v>0.83397444600938053</v>
      </c>
      <c r="B87" s="10">
        <f t="shared" ref="B87" si="863">B86+P86</f>
        <v>0.16184282415386853</v>
      </c>
      <c r="C87" s="10">
        <f t="shared" ref="C87" si="864">C86+Q86</f>
        <v>4.1827298367512217E-3</v>
      </c>
      <c r="D87" s="10">
        <v>342.6172579441232</v>
      </c>
      <c r="E87" s="31">
        <f t="shared" ref="E87" si="865">10^($B$12-$B$13/(D87-273.15+$B$14))</f>
        <v>541.37530389723531</v>
      </c>
      <c r="F87" s="31">
        <f t="shared" ref="F87" si="866">10^($C$12-$C$13/(D87-273.15+$C$14))</f>
        <v>530.34084112825349</v>
      </c>
      <c r="G87" s="31">
        <f t="shared" ref="G87" si="867">10^($D$12-$D$13/(D87-273.15+$D$14))</f>
        <v>919.50154795938124</v>
      </c>
      <c r="H87" s="31">
        <f t="shared" ref="H87" si="868">A87*I87*E87+B87*J87*F87+C87*K87*G87</f>
        <v>759.99999998943042</v>
      </c>
      <c r="I87" s="25">
        <v>1.0630911998336037</v>
      </c>
      <c r="J87" s="25">
        <v>3.0718104909484922</v>
      </c>
      <c r="K87" s="25">
        <v>4.2543592407613087</v>
      </c>
      <c r="L87" s="8">
        <f t="shared" ref="L87" si="869">E87*I87/$H87</f>
        <v>0.75727805445841823</v>
      </c>
      <c r="M87" s="8">
        <f t="shared" ref="M87" si="870">F87*J87/$H87</f>
        <v>2.1435612626037805</v>
      </c>
      <c r="N87" s="8">
        <f t="shared" ref="N87" si="871">G87*K87/$H87</f>
        <v>5.1472235625127958</v>
      </c>
      <c r="O87" s="10">
        <f t="shared" ref="O87" si="872">(L87-1)*A87*$B$16</f>
        <v>3.0363585010103951E-2</v>
      </c>
      <c r="P87" s="10">
        <f t="shared" ref="P87" si="873">(M87-1)*B87*$B$16</f>
        <v>-2.7761577649913927E-2</v>
      </c>
      <c r="Q87" s="10">
        <f t="shared" ref="Q87" si="874">(N87-1)*C87*$B$16</f>
        <v>-2.6020073601899949E-3</v>
      </c>
    </row>
    <row r="93" spans="1:20">
      <c r="T93" s="9"/>
    </row>
    <row r="94" spans="1:20">
      <c r="T94" s="9"/>
    </row>
    <row r="95" spans="1:20">
      <c r="T95" s="9"/>
    </row>
    <row r="96" spans="1:20">
      <c r="T96" s="9"/>
    </row>
    <row r="97" spans="20:20">
      <c r="T97" s="9"/>
    </row>
    <row r="98" spans="20:20">
      <c r="T98" s="9"/>
    </row>
    <row r="99" spans="20:20">
      <c r="T99" s="9"/>
    </row>
    <row r="100" spans="20:20">
      <c r="T100" s="9"/>
    </row>
    <row r="101" spans="20:20">
      <c r="T101" s="9"/>
    </row>
    <row r="102" spans="20:20">
      <c r="T102" s="9"/>
    </row>
    <row r="103" spans="20:20">
      <c r="T103" s="9"/>
    </row>
    <row r="104" spans="20:20">
      <c r="T104" s="9"/>
    </row>
    <row r="105" spans="20:20">
      <c r="T105" s="9"/>
    </row>
    <row r="106" spans="20:20">
      <c r="T106" s="9"/>
    </row>
    <row r="107" spans="20:20">
      <c r="T107" s="9"/>
    </row>
    <row r="108" spans="20:20">
      <c r="T108" s="9"/>
    </row>
    <row r="109" spans="20:20">
      <c r="T109" s="9"/>
    </row>
    <row r="110" spans="20:20">
      <c r="T110" s="9"/>
    </row>
    <row r="111" spans="20:20">
      <c r="T111" s="9"/>
    </row>
    <row r="112" spans="20:20">
      <c r="T112" s="9"/>
    </row>
    <row r="113" spans="20:20">
      <c r="T113" s="9"/>
    </row>
    <row r="114" spans="20:20">
      <c r="T114" s="9"/>
    </row>
    <row r="115" spans="20:20">
      <c r="T115" s="9"/>
    </row>
    <row r="116" spans="20:20">
      <c r="T116" s="9"/>
    </row>
    <row r="117" spans="20:20">
      <c r="T117" s="9"/>
    </row>
    <row r="118" spans="20:20">
      <c r="T118" s="9"/>
    </row>
    <row r="119" spans="20:20">
      <c r="T119" s="9"/>
    </row>
    <row r="120" spans="20:20">
      <c r="T120" s="9"/>
    </row>
    <row r="121" spans="20:20">
      <c r="T121" s="9"/>
    </row>
    <row r="122" spans="20:20">
      <c r="T122" s="9"/>
    </row>
    <row r="123" spans="20:20">
      <c r="T123" s="9"/>
    </row>
    <row r="124" spans="20:20">
      <c r="T124" s="9"/>
    </row>
    <row r="125" spans="20:20">
      <c r="T125" s="9"/>
    </row>
    <row r="126" spans="20:20">
      <c r="T126" s="9"/>
    </row>
    <row r="127" spans="20:20">
      <c r="T127" s="9"/>
    </row>
    <row r="128" spans="20:20">
      <c r="T128" s="9"/>
    </row>
    <row r="129" spans="20:20">
      <c r="T129" s="9"/>
    </row>
    <row r="154" spans="20:20">
      <c r="T154" s="9"/>
    </row>
    <row r="155" spans="20:20">
      <c r="T155" s="9"/>
    </row>
    <row r="156" spans="20:20">
      <c r="T156" s="9"/>
    </row>
    <row r="157" spans="20:20">
      <c r="T157" s="9"/>
    </row>
    <row r="158" spans="20:20">
      <c r="T158" s="9"/>
    </row>
    <row r="159" spans="20:20">
      <c r="T159" s="9"/>
    </row>
    <row r="160" spans="20:20">
      <c r="T160" s="9"/>
    </row>
    <row r="161" spans="20:20">
      <c r="T161" s="9"/>
    </row>
    <row r="162" spans="20:20">
      <c r="T162" s="9"/>
    </row>
    <row r="163" spans="20:20">
      <c r="T163" s="9"/>
    </row>
    <row r="164" spans="20:20">
      <c r="T164" s="9"/>
    </row>
    <row r="165" spans="20:20">
      <c r="T165" s="9"/>
    </row>
    <row r="166" spans="20:20">
      <c r="T166" s="9"/>
    </row>
    <row r="167" spans="20:20">
      <c r="T167" s="9"/>
    </row>
    <row r="168" spans="20:20">
      <c r="T168" s="9"/>
    </row>
    <row r="169" spans="20:20">
      <c r="T169" s="9"/>
    </row>
    <row r="170" spans="20:20">
      <c r="T170" s="9"/>
    </row>
    <row r="171" spans="20:20">
      <c r="T171" s="9"/>
    </row>
    <row r="172" spans="20:20">
      <c r="T172" s="9"/>
    </row>
    <row r="173" spans="20:20">
      <c r="T173" s="9"/>
    </row>
    <row r="174" spans="20:20">
      <c r="T174" s="9"/>
    </row>
    <row r="175" spans="20:20">
      <c r="T175" s="9"/>
    </row>
    <row r="176" spans="20:20">
      <c r="T176" s="9"/>
    </row>
    <row r="177" spans="20:20">
      <c r="T177" s="9"/>
    </row>
    <row r="178" spans="20:20">
      <c r="T178" s="9"/>
    </row>
    <row r="179" spans="20:20">
      <c r="T179" s="9"/>
    </row>
    <row r="180" spans="20:20">
      <c r="T180" s="9"/>
    </row>
    <row r="181" spans="20:20">
      <c r="T181" s="9"/>
    </row>
    <row r="182" spans="20:20">
      <c r="T182" s="9"/>
    </row>
    <row r="183" spans="20:20">
      <c r="T183" s="9"/>
    </row>
    <row r="184" spans="20:20">
      <c r="T184" s="9"/>
    </row>
    <row r="185" spans="20:20">
      <c r="T185" s="9"/>
    </row>
    <row r="186" spans="20:20">
      <c r="T186" s="9"/>
    </row>
    <row r="187" spans="20:20">
      <c r="T187" s="9"/>
    </row>
    <row r="188" spans="20:20">
      <c r="T188" s="9"/>
    </row>
    <row r="189" spans="20:20">
      <c r="T189" s="9"/>
    </row>
    <row r="190" spans="20:20">
      <c r="T190" s="9"/>
    </row>
    <row r="191" spans="20:20">
      <c r="T191" s="9"/>
    </row>
    <row r="207" spans="20:20">
      <c r="T207" s="9"/>
    </row>
    <row r="208" spans="20:20">
      <c r="T208" s="9"/>
    </row>
    <row r="209" spans="20:20">
      <c r="T209" s="9"/>
    </row>
    <row r="210" spans="20:20">
      <c r="T210" s="9"/>
    </row>
    <row r="211" spans="20:20">
      <c r="T211" s="9"/>
    </row>
    <row r="212" spans="20:20">
      <c r="T212" s="9"/>
    </row>
    <row r="213" spans="20:20">
      <c r="T213" s="9"/>
    </row>
    <row r="214" spans="20:20">
      <c r="T214" s="9"/>
    </row>
    <row r="215" spans="20:20">
      <c r="T215" s="9"/>
    </row>
    <row r="216" spans="20:20">
      <c r="T216" s="9"/>
    </row>
    <row r="217" spans="20:20">
      <c r="T217" s="9"/>
    </row>
    <row r="218" spans="20:20">
      <c r="T218" s="9"/>
    </row>
    <row r="219" spans="20:20">
      <c r="T219" s="9"/>
    </row>
    <row r="220" spans="20:20">
      <c r="T220" s="9"/>
    </row>
    <row r="221" spans="20:20">
      <c r="T221" s="9"/>
    </row>
    <row r="222" spans="20:20">
      <c r="T222" s="9"/>
    </row>
    <row r="223" spans="20:20">
      <c r="T223" s="9"/>
    </row>
    <row r="224" spans="20:20">
      <c r="T224" s="9"/>
    </row>
    <row r="225" spans="20:20">
      <c r="T225" s="9"/>
    </row>
    <row r="226" spans="20:20">
      <c r="T226" s="9"/>
    </row>
    <row r="227" spans="20:20">
      <c r="T227" s="9"/>
    </row>
    <row r="228" spans="20:20">
      <c r="T228" s="9"/>
    </row>
    <row r="229" spans="20:20">
      <c r="T229" s="9"/>
    </row>
    <row r="230" spans="20:20">
      <c r="T230" s="9"/>
    </row>
    <row r="231" spans="20:20">
      <c r="T231" s="9"/>
    </row>
    <row r="232" spans="20:20">
      <c r="T232" s="9"/>
    </row>
    <row r="233" spans="20:20">
      <c r="T233" s="9"/>
    </row>
    <row r="234" spans="20:20">
      <c r="T234" s="9"/>
    </row>
    <row r="235" spans="20:20">
      <c r="T235" s="9"/>
    </row>
    <row r="236" spans="20:20">
      <c r="T236" s="9"/>
    </row>
    <row r="237" spans="20:20">
      <c r="T237" s="9"/>
    </row>
    <row r="238" spans="20:20">
      <c r="T238" s="9"/>
    </row>
    <row r="239" spans="20:20">
      <c r="T239" s="9"/>
    </row>
    <row r="240" spans="20:20">
      <c r="T240" s="9"/>
    </row>
    <row r="241" spans="20:20">
      <c r="T241" s="9"/>
    </row>
    <row r="242" spans="20:20">
      <c r="T242" s="9"/>
    </row>
    <row r="243" spans="20:20">
      <c r="T243" s="9"/>
    </row>
    <row r="244" spans="20:20">
      <c r="T244" s="9"/>
    </row>
    <row r="245" spans="20:20">
      <c r="T245" s="9"/>
    </row>
    <row r="246" spans="20:20">
      <c r="T246" s="9"/>
    </row>
    <row r="247" spans="20:20">
      <c r="T247" s="9"/>
    </row>
    <row r="248" spans="20:20">
      <c r="T248" s="9"/>
    </row>
    <row r="249" spans="20:20">
      <c r="T249" s="9"/>
    </row>
    <row r="250" spans="20:20">
      <c r="T250" s="9"/>
    </row>
    <row r="251" spans="20:20">
      <c r="T251" s="9"/>
    </row>
    <row r="252" spans="20:20">
      <c r="T252" s="9"/>
    </row>
    <row r="253" spans="20:20">
      <c r="T253" s="9"/>
    </row>
    <row r="254" spans="20:20">
      <c r="T254" s="9"/>
    </row>
    <row r="255" spans="20:20">
      <c r="T255" s="9"/>
    </row>
    <row r="256" spans="20:20">
      <c r="T256" s="9"/>
    </row>
    <row r="257" spans="20:20">
      <c r="T257" s="9"/>
    </row>
    <row r="258" spans="20:20">
      <c r="T258" s="9"/>
    </row>
    <row r="259" spans="20:20">
      <c r="T259" s="9"/>
    </row>
    <row r="260" spans="20:20">
      <c r="T260" s="9"/>
    </row>
    <row r="261" spans="20:20">
      <c r="T261" s="9"/>
    </row>
    <row r="262" spans="20:20">
      <c r="T262" s="9"/>
    </row>
    <row r="263" spans="20:20">
      <c r="T263" s="9"/>
    </row>
    <row r="264" spans="20:20">
      <c r="T264" s="9"/>
    </row>
    <row r="265" spans="20:20">
      <c r="T265" s="9"/>
    </row>
    <row r="266" spans="20:20">
      <c r="T266" s="9"/>
    </row>
    <row r="267" spans="20:20">
      <c r="T267" s="9"/>
    </row>
    <row r="268" spans="20:20">
      <c r="T268" s="9"/>
    </row>
    <row r="269" spans="20:20">
      <c r="T269" s="9"/>
    </row>
    <row r="270" spans="20:20">
      <c r="T270" s="9"/>
    </row>
    <row r="271" spans="20:20">
      <c r="T271" s="9"/>
    </row>
    <row r="272" spans="20:20">
      <c r="T272" s="9"/>
    </row>
    <row r="273" spans="20:20">
      <c r="T273" s="9"/>
    </row>
    <row r="274" spans="20:20">
      <c r="T274" s="9"/>
    </row>
    <row r="275" spans="20:20">
      <c r="T275" s="9"/>
    </row>
    <row r="276" spans="20:20">
      <c r="T276" s="9"/>
    </row>
    <row r="277" spans="20:20">
      <c r="T277" s="9"/>
    </row>
    <row r="278" spans="20:20">
      <c r="T278" s="9"/>
    </row>
    <row r="279" spans="20:20">
      <c r="T279" s="9"/>
    </row>
    <row r="280" spans="20:20">
      <c r="T280" s="9"/>
    </row>
    <row r="281" spans="20:20">
      <c r="T281" s="9"/>
    </row>
    <row r="282" spans="20:20">
      <c r="T282" s="9"/>
    </row>
    <row r="283" spans="20:20">
      <c r="T283" s="9"/>
    </row>
    <row r="284" spans="20:20">
      <c r="T284" s="9"/>
    </row>
    <row r="285" spans="20:20">
      <c r="T285" s="9"/>
    </row>
    <row r="286" spans="20:20">
      <c r="T286" s="9"/>
    </row>
    <row r="287" spans="20:20">
      <c r="T287" s="9"/>
    </row>
    <row r="288" spans="20:20">
      <c r="T288" s="9"/>
    </row>
    <row r="289" spans="20:20">
      <c r="T289" s="9"/>
    </row>
    <row r="290" spans="20:20">
      <c r="T290" s="9"/>
    </row>
    <row r="291" spans="20:20">
      <c r="T291" s="9"/>
    </row>
    <row r="292" spans="20:20">
      <c r="T292" s="9"/>
    </row>
    <row r="293" spans="20:20">
      <c r="T293" s="9"/>
    </row>
    <row r="294" spans="20:20">
      <c r="T294" s="9"/>
    </row>
    <row r="295" spans="20:20">
      <c r="T295" s="9"/>
    </row>
    <row r="296" spans="20:20">
      <c r="T296" s="9"/>
    </row>
    <row r="297" spans="20:20">
      <c r="T297" s="9"/>
    </row>
    <row r="298" spans="20:20">
      <c r="T298" s="9"/>
    </row>
    <row r="299" spans="20:20">
      <c r="T299" s="9"/>
    </row>
    <row r="300" spans="20:20">
      <c r="T300" s="9"/>
    </row>
    <row r="301" spans="20:20">
      <c r="T301" s="9"/>
    </row>
    <row r="302" spans="20:20">
      <c r="T302" s="9"/>
    </row>
    <row r="303" spans="20:20">
      <c r="T303" s="9"/>
    </row>
    <row r="304" spans="20:20">
      <c r="T304" s="9"/>
    </row>
    <row r="305" spans="20:20">
      <c r="T305" s="9"/>
    </row>
    <row r="306" spans="20:20">
      <c r="T306" s="9"/>
    </row>
    <row r="307" spans="20:20">
      <c r="T307" s="9"/>
    </row>
    <row r="308" spans="20:20">
      <c r="T308" s="9"/>
    </row>
    <row r="309" spans="20:20">
      <c r="T309" s="9"/>
    </row>
    <row r="310" spans="20:20">
      <c r="T310" s="9"/>
    </row>
    <row r="311" spans="20:20">
      <c r="T311" s="9"/>
    </row>
    <row r="312" spans="20:20">
      <c r="T312" s="9"/>
    </row>
    <row r="313" spans="20:20">
      <c r="T313" s="9"/>
    </row>
    <row r="314" spans="20:20">
      <c r="T314" s="9"/>
    </row>
    <row r="315" spans="20:20">
      <c r="T315" s="9"/>
    </row>
    <row r="316" spans="20:20">
      <c r="T316" s="9"/>
    </row>
    <row r="317" spans="20:20">
      <c r="T317" s="9"/>
    </row>
    <row r="318" spans="20:20">
      <c r="T318" s="9"/>
    </row>
    <row r="319" spans="20:20">
      <c r="T319" s="9"/>
    </row>
    <row r="320" spans="20:20">
      <c r="T320" s="9"/>
    </row>
    <row r="321" spans="20:20">
      <c r="T321" s="9"/>
    </row>
    <row r="322" spans="20:20">
      <c r="T322" s="9"/>
    </row>
    <row r="323" spans="20:20">
      <c r="T323" s="9"/>
    </row>
    <row r="324" spans="20:20">
      <c r="T324" s="9"/>
    </row>
    <row r="325" spans="20:20">
      <c r="T325" s="9"/>
    </row>
    <row r="326" spans="20:20">
      <c r="T326" s="9"/>
    </row>
    <row r="327" spans="20:20">
      <c r="T327" s="9"/>
    </row>
    <row r="328" spans="20:20">
      <c r="T328" s="9"/>
    </row>
    <row r="329" spans="20:20">
      <c r="T329" s="9"/>
    </row>
    <row r="330" spans="20:20">
      <c r="T330" s="9"/>
    </row>
    <row r="331" spans="20:20">
      <c r="T331" s="9"/>
    </row>
    <row r="332" spans="20:20">
      <c r="T332" s="9"/>
    </row>
    <row r="333" spans="20:20">
      <c r="T333" s="9"/>
    </row>
    <row r="334" spans="20:20">
      <c r="T334" s="9"/>
    </row>
    <row r="335" spans="20:20">
      <c r="T335" s="9"/>
    </row>
    <row r="336" spans="20:20">
      <c r="T336" s="9"/>
    </row>
    <row r="337" spans="20:20">
      <c r="T337" s="9"/>
    </row>
    <row r="338" spans="20:20">
      <c r="T338" s="9"/>
    </row>
    <row r="339" spans="20:20">
      <c r="T339" s="9"/>
    </row>
    <row r="340" spans="20:20">
      <c r="T340" s="9"/>
    </row>
    <row r="341" spans="20:20">
      <c r="T341" s="9"/>
    </row>
    <row r="342" spans="20:20">
      <c r="T342" s="9"/>
    </row>
    <row r="343" spans="20:20">
      <c r="T343" s="9"/>
    </row>
    <row r="344" spans="20:20">
      <c r="T344" s="9"/>
    </row>
    <row r="345" spans="20:20">
      <c r="T345" s="9"/>
    </row>
    <row r="346" spans="20:20">
      <c r="T346" s="9"/>
    </row>
    <row r="347" spans="20:20">
      <c r="T347" s="9"/>
    </row>
    <row r="348" spans="20:20">
      <c r="T348" s="9"/>
    </row>
    <row r="349" spans="20:20">
      <c r="T349" s="9"/>
    </row>
    <row r="350" spans="20:20">
      <c r="T350" s="9"/>
    </row>
    <row r="351" spans="20:20">
      <c r="T351" s="9"/>
    </row>
    <row r="352" spans="20:20">
      <c r="T352" s="9"/>
    </row>
    <row r="353" spans="20:20">
      <c r="T353" s="9"/>
    </row>
    <row r="354" spans="20:20">
      <c r="T354" s="9"/>
    </row>
    <row r="355" spans="20:20">
      <c r="T355" s="9"/>
    </row>
    <row r="356" spans="20:20">
      <c r="T356" s="9"/>
    </row>
    <row r="357" spans="20:20">
      <c r="T357" s="9"/>
    </row>
    <row r="358" spans="20:20">
      <c r="T358" s="9"/>
    </row>
    <row r="359" spans="20:20">
      <c r="T359" s="9"/>
    </row>
    <row r="360" spans="20:20">
      <c r="T360" s="9"/>
    </row>
    <row r="361" spans="20:20">
      <c r="T361" s="9"/>
    </row>
    <row r="362" spans="20:20">
      <c r="T362" s="9"/>
    </row>
    <row r="363" spans="20:20">
      <c r="T363" s="9"/>
    </row>
    <row r="364" spans="20:20">
      <c r="T364" s="9"/>
    </row>
    <row r="365" spans="20:20">
      <c r="T365" s="9"/>
    </row>
    <row r="366" spans="20:20">
      <c r="T366" s="9"/>
    </row>
    <row r="367" spans="20:20">
      <c r="T367" s="9"/>
    </row>
    <row r="368" spans="20:20">
      <c r="T368" s="9"/>
    </row>
    <row r="369" spans="20:20">
      <c r="T369" s="9"/>
    </row>
    <row r="370" spans="20:20">
      <c r="T370" s="9"/>
    </row>
    <row r="371" spans="20:20">
      <c r="T371" s="9"/>
    </row>
    <row r="372" spans="20:20">
      <c r="T372" s="9"/>
    </row>
    <row r="373" spans="20:20">
      <c r="T373" s="9"/>
    </row>
    <row r="374" spans="20:20">
      <c r="T374" s="9"/>
    </row>
    <row r="375" spans="20:20">
      <c r="T375" s="9"/>
    </row>
    <row r="376" spans="20:20">
      <c r="T376" s="9"/>
    </row>
    <row r="377" spans="20:20">
      <c r="T377" s="9"/>
    </row>
    <row r="378" spans="20:20">
      <c r="T378" s="9"/>
    </row>
    <row r="379" spans="20:20">
      <c r="T379" s="9"/>
    </row>
    <row r="380" spans="20:20">
      <c r="T380" s="9"/>
    </row>
    <row r="381" spans="20:20">
      <c r="T381" s="9"/>
    </row>
    <row r="382" spans="20:20">
      <c r="T382" s="9"/>
    </row>
    <row r="383" spans="20:20">
      <c r="T383" s="9"/>
    </row>
    <row r="384" spans="20:20">
      <c r="T384" s="9"/>
    </row>
    <row r="385" spans="20:20">
      <c r="T385" s="9"/>
    </row>
    <row r="386" spans="20:20">
      <c r="T386" s="9"/>
    </row>
    <row r="387" spans="20:20">
      <c r="T387" s="9"/>
    </row>
    <row r="388" spans="20:20">
      <c r="T388" s="9"/>
    </row>
    <row r="389" spans="20:20">
      <c r="T389" s="9"/>
    </row>
    <row r="390" spans="20:20">
      <c r="T390" s="9"/>
    </row>
    <row r="391" spans="20:20">
      <c r="T391" s="9"/>
    </row>
    <row r="392" spans="20:20">
      <c r="T392" s="9"/>
    </row>
    <row r="393" spans="20:20">
      <c r="T393" s="9"/>
    </row>
    <row r="394" spans="20:20">
      <c r="T394" s="9"/>
    </row>
    <row r="395" spans="20:20">
      <c r="T395" s="9"/>
    </row>
    <row r="396" spans="20:20">
      <c r="T396" s="9"/>
    </row>
    <row r="397" spans="20:20">
      <c r="T397" s="9"/>
    </row>
    <row r="398" spans="20:20">
      <c r="T398" s="9"/>
    </row>
    <row r="399" spans="20:20">
      <c r="T399" s="9"/>
    </row>
    <row r="400" spans="20:20">
      <c r="T400" s="9"/>
    </row>
    <row r="401" spans="20:20">
      <c r="T401" s="9"/>
    </row>
    <row r="402" spans="20:20">
      <c r="T402" s="9"/>
    </row>
    <row r="403" spans="20:20">
      <c r="T403" s="9"/>
    </row>
    <row r="404" spans="20:20">
      <c r="T404" s="9"/>
    </row>
    <row r="405" spans="20:20">
      <c r="T405" s="9"/>
    </row>
    <row r="406" spans="20:20">
      <c r="T406" s="9"/>
    </row>
    <row r="407" spans="20:20">
      <c r="T407" s="9"/>
    </row>
    <row r="408" spans="20:20">
      <c r="T408" s="9"/>
    </row>
    <row r="409" spans="20:20">
      <c r="T409" s="9"/>
    </row>
    <row r="410" spans="20:20">
      <c r="T410" s="9"/>
    </row>
    <row r="411" spans="20:20">
      <c r="T411" s="9"/>
    </row>
    <row r="412" spans="20:20">
      <c r="T412" s="9"/>
    </row>
    <row r="413" spans="20:20">
      <c r="T413" s="9"/>
    </row>
    <row r="414" spans="20:20">
      <c r="T414" s="9"/>
    </row>
    <row r="415" spans="20:20">
      <c r="T415" s="9"/>
    </row>
    <row r="416" spans="20:20">
      <c r="T416" s="9"/>
    </row>
    <row r="417" spans="20:20">
      <c r="T417" s="9"/>
    </row>
    <row r="418" spans="20:20">
      <c r="T418" s="9"/>
    </row>
    <row r="419" spans="20:20">
      <c r="T419" s="9"/>
    </row>
    <row r="420" spans="20:20">
      <c r="T420" s="9"/>
    </row>
    <row r="421" spans="20:20">
      <c r="T421" s="9"/>
    </row>
    <row r="422" spans="20:20">
      <c r="T422" s="9"/>
    </row>
    <row r="423" spans="20:20">
      <c r="T423" s="9"/>
    </row>
    <row r="424" spans="20:20">
      <c r="T424" s="9"/>
    </row>
    <row r="425" spans="20:20">
      <c r="T425" s="9"/>
    </row>
    <row r="426" spans="20:20">
      <c r="T426" s="9"/>
    </row>
    <row r="427" spans="20:20">
      <c r="T427" s="9"/>
    </row>
    <row r="428" spans="20:20">
      <c r="T428" s="9"/>
    </row>
    <row r="429" spans="20:20">
      <c r="T429" s="9"/>
    </row>
    <row r="430" spans="20:20">
      <c r="T430" s="9"/>
    </row>
    <row r="431" spans="20:20">
      <c r="T431" s="9"/>
    </row>
    <row r="432" spans="20:20">
      <c r="T432" s="9"/>
    </row>
    <row r="433" spans="20:20">
      <c r="T433" s="9"/>
    </row>
    <row r="434" spans="20:20">
      <c r="T434" s="9"/>
    </row>
    <row r="435" spans="20:20">
      <c r="T435" s="9"/>
    </row>
    <row r="436" spans="20:20">
      <c r="T436" s="9"/>
    </row>
    <row r="437" spans="20:20">
      <c r="T437" s="9"/>
    </row>
    <row r="438" spans="20:20">
      <c r="T438" s="9"/>
    </row>
    <row r="439" spans="20:20">
      <c r="T439" s="9"/>
    </row>
    <row r="440" spans="20:20">
      <c r="T440" s="9"/>
    </row>
    <row r="441" spans="20:20">
      <c r="T441" s="9"/>
    </row>
    <row r="442" spans="20:20">
      <c r="T442" s="9"/>
    </row>
    <row r="443" spans="20:20">
      <c r="T443" s="9"/>
    </row>
    <row r="444" spans="20:20">
      <c r="T444" s="9"/>
    </row>
    <row r="445" spans="20:20">
      <c r="T445" s="9"/>
    </row>
    <row r="446" spans="20:20">
      <c r="T446" s="9"/>
    </row>
    <row r="447" spans="20:20">
      <c r="T447" s="9"/>
    </row>
    <row r="448" spans="20:20">
      <c r="T448" s="9"/>
    </row>
    <row r="449" spans="20:20">
      <c r="T449" s="9"/>
    </row>
    <row r="450" spans="20:20">
      <c r="T450" s="9"/>
    </row>
    <row r="451" spans="20:20">
      <c r="T451" s="9"/>
    </row>
    <row r="452" spans="20:20">
      <c r="T452" s="9"/>
    </row>
    <row r="453" spans="20:20">
      <c r="T453" s="9"/>
    </row>
    <row r="454" spans="20:20">
      <c r="T454" s="9"/>
    </row>
    <row r="455" spans="20:20">
      <c r="T455" s="9"/>
    </row>
    <row r="456" spans="20:20">
      <c r="T456" s="9"/>
    </row>
    <row r="457" spans="20:20">
      <c r="T457" s="9"/>
    </row>
    <row r="458" spans="20:20">
      <c r="T458" s="9"/>
    </row>
    <row r="459" spans="20:20">
      <c r="T459" s="9"/>
    </row>
    <row r="460" spans="20:20">
      <c r="T460" s="9"/>
    </row>
    <row r="461" spans="20:20">
      <c r="T461" s="9"/>
    </row>
    <row r="462" spans="20:20">
      <c r="T462" s="9"/>
    </row>
    <row r="463" spans="20:20">
      <c r="T463" s="9"/>
    </row>
    <row r="464" spans="20:20">
      <c r="T464" s="9"/>
    </row>
    <row r="465" spans="20:20">
      <c r="T465" s="9"/>
    </row>
    <row r="466" spans="20:20">
      <c r="T466" s="9"/>
    </row>
    <row r="467" spans="20:20">
      <c r="T467" s="9"/>
    </row>
    <row r="468" spans="20:20">
      <c r="T468" s="9"/>
    </row>
    <row r="469" spans="20:20">
      <c r="T469" s="9"/>
    </row>
    <row r="470" spans="20:20">
      <c r="T470" s="9"/>
    </row>
    <row r="471" spans="20:20">
      <c r="T471" s="9"/>
    </row>
    <row r="472" spans="20:20">
      <c r="T472" s="9"/>
    </row>
    <row r="473" spans="20:20">
      <c r="T473" s="9"/>
    </row>
    <row r="474" spans="20:20">
      <c r="T474" s="9"/>
    </row>
    <row r="475" spans="20:20">
      <c r="T475" s="9"/>
    </row>
    <row r="476" spans="20:20">
      <c r="T476" s="9"/>
    </row>
    <row r="477" spans="20:20">
      <c r="T477" s="9"/>
    </row>
    <row r="478" spans="20:20">
      <c r="T478" s="9"/>
    </row>
    <row r="479" spans="20:20">
      <c r="T479" s="9"/>
    </row>
    <row r="480" spans="20:20">
      <c r="T480" s="9"/>
    </row>
    <row r="481" spans="20:20">
      <c r="T481" s="9"/>
    </row>
    <row r="482" spans="20:20">
      <c r="T482" s="9"/>
    </row>
    <row r="483" spans="20:20">
      <c r="T483" s="9"/>
    </row>
    <row r="484" spans="20:20">
      <c r="T484" s="9"/>
    </row>
    <row r="485" spans="20:20">
      <c r="T485" s="9"/>
    </row>
    <row r="486" spans="20:20">
      <c r="T486" s="9"/>
    </row>
    <row r="487" spans="20:20">
      <c r="T487" s="9"/>
    </row>
    <row r="488" spans="20:20">
      <c r="T488" s="9"/>
    </row>
    <row r="489" spans="20:20">
      <c r="T489" s="9"/>
    </row>
    <row r="490" spans="20:20">
      <c r="T490" s="9"/>
    </row>
    <row r="491" spans="20:20">
      <c r="T491" s="9"/>
    </row>
    <row r="492" spans="20:20">
      <c r="T492" s="9"/>
    </row>
    <row r="493" spans="20:20">
      <c r="T493" s="9"/>
    </row>
    <row r="494" spans="20:20">
      <c r="T494" s="9"/>
    </row>
    <row r="495" spans="20:20">
      <c r="T495" s="9"/>
    </row>
    <row r="496" spans="20:20">
      <c r="T496" s="9"/>
    </row>
    <row r="497" spans="20:20">
      <c r="T497" s="9"/>
    </row>
    <row r="498" spans="20:20">
      <c r="T498" s="9"/>
    </row>
    <row r="499" spans="20:20">
      <c r="T499" s="9"/>
    </row>
    <row r="500" spans="20:20">
      <c r="T500" s="9"/>
    </row>
    <row r="501" spans="20:20">
      <c r="T501" s="9"/>
    </row>
    <row r="502" spans="20:20">
      <c r="T502" s="9"/>
    </row>
    <row r="503" spans="20:20">
      <c r="T503" s="9"/>
    </row>
    <row r="504" spans="20:20">
      <c r="T504" s="9"/>
    </row>
    <row r="505" spans="20:20">
      <c r="T505" s="9"/>
    </row>
    <row r="506" spans="20:20">
      <c r="T506" s="9"/>
    </row>
    <row r="507" spans="20:20">
      <c r="T507" s="9"/>
    </row>
    <row r="508" spans="20:20">
      <c r="T508" s="9"/>
    </row>
    <row r="509" spans="20:20">
      <c r="T509" s="9"/>
    </row>
    <row r="510" spans="20:20">
      <c r="T510" s="9"/>
    </row>
    <row r="511" spans="20:20">
      <c r="T511" s="9"/>
    </row>
    <row r="512" spans="20:20">
      <c r="T512" s="9"/>
    </row>
    <row r="513" spans="20:20">
      <c r="T513" s="9"/>
    </row>
    <row r="514" spans="20:20">
      <c r="T514" s="9"/>
    </row>
    <row r="515" spans="20:20">
      <c r="T515" s="9"/>
    </row>
    <row r="516" spans="20:20">
      <c r="T516" s="9"/>
    </row>
    <row r="517" spans="20:20">
      <c r="T517" s="9"/>
    </row>
    <row r="518" spans="20:20">
      <c r="T518" s="9"/>
    </row>
    <row r="519" spans="20:20">
      <c r="T519" s="9"/>
    </row>
    <row r="520" spans="20:20">
      <c r="T520" s="9"/>
    </row>
    <row r="521" spans="20:20">
      <c r="T521" s="9"/>
    </row>
    <row r="522" spans="20:20">
      <c r="T522" s="9"/>
    </row>
    <row r="523" spans="20:20">
      <c r="T523" s="9"/>
    </row>
    <row r="524" spans="20:20">
      <c r="T524" s="9"/>
    </row>
    <row r="525" spans="20:20">
      <c r="T525" s="9"/>
    </row>
    <row r="526" spans="20:20">
      <c r="T526" s="9"/>
    </row>
    <row r="527" spans="20:20">
      <c r="T527" s="9"/>
    </row>
    <row r="528" spans="20:20">
      <c r="T528" s="9"/>
    </row>
    <row r="529" spans="20:20">
      <c r="T529" s="9"/>
    </row>
    <row r="530" spans="20:20">
      <c r="T530" s="9"/>
    </row>
    <row r="531" spans="20:20">
      <c r="T531" s="9"/>
    </row>
    <row r="532" spans="20:20">
      <c r="T532" s="9"/>
    </row>
    <row r="533" spans="20:20">
      <c r="T533" s="9"/>
    </row>
    <row r="534" spans="20:20">
      <c r="T534" s="9"/>
    </row>
    <row r="535" spans="20:20">
      <c r="T535" s="9"/>
    </row>
    <row r="536" spans="20:20">
      <c r="T536" s="9"/>
    </row>
    <row r="537" spans="20:20">
      <c r="T537" s="9"/>
    </row>
    <row r="538" spans="20:20">
      <c r="T538" s="9"/>
    </row>
    <row r="539" spans="20:20">
      <c r="T539" s="9"/>
    </row>
    <row r="540" spans="20:20">
      <c r="T540" s="9"/>
    </row>
    <row r="541" spans="20:20">
      <c r="T541" s="9"/>
    </row>
    <row r="542" spans="20:20">
      <c r="T542" s="9"/>
    </row>
    <row r="543" spans="20:20">
      <c r="T543" s="9"/>
    </row>
    <row r="544" spans="20:20">
      <c r="T544" s="9"/>
    </row>
    <row r="545" spans="20:20">
      <c r="T545" s="9"/>
    </row>
    <row r="546" spans="20:20">
      <c r="T546" s="9"/>
    </row>
    <row r="547" spans="20:20">
      <c r="T547" s="9"/>
    </row>
    <row r="548" spans="20:20">
      <c r="T548" s="9"/>
    </row>
    <row r="549" spans="20:20">
      <c r="T549" s="9"/>
    </row>
    <row r="550" spans="20:20">
      <c r="T550" s="9"/>
    </row>
    <row r="551" spans="20:20">
      <c r="T551" s="9"/>
    </row>
    <row r="552" spans="20:20">
      <c r="T552" s="9"/>
    </row>
    <row r="553" spans="20:20">
      <c r="T553" s="9"/>
    </row>
    <row r="554" spans="20:20">
      <c r="T554" s="9"/>
    </row>
    <row r="555" spans="20:20">
      <c r="T555" s="9"/>
    </row>
    <row r="556" spans="20:20">
      <c r="T556" s="9"/>
    </row>
    <row r="557" spans="20:20">
      <c r="T557" s="9"/>
    </row>
    <row r="558" spans="20:20">
      <c r="T558" s="9"/>
    </row>
    <row r="559" spans="20:20">
      <c r="T559" s="9"/>
    </row>
    <row r="560" spans="20:20">
      <c r="T560" s="9"/>
    </row>
    <row r="561" spans="20:20">
      <c r="T561" s="9"/>
    </row>
    <row r="562" spans="20:20">
      <c r="T562" s="9"/>
    </row>
    <row r="563" spans="20:20">
      <c r="T563" s="9"/>
    </row>
    <row r="564" spans="20:20">
      <c r="T564" s="9"/>
    </row>
    <row r="565" spans="20:20">
      <c r="T565" s="9"/>
    </row>
    <row r="566" spans="20:20">
      <c r="T566" s="9"/>
    </row>
    <row r="567" spans="20:20">
      <c r="T567" s="9"/>
    </row>
    <row r="568" spans="20:20">
      <c r="T568" s="9"/>
    </row>
    <row r="569" spans="20:20">
      <c r="T569" s="9"/>
    </row>
    <row r="570" spans="20:20">
      <c r="T570" s="9"/>
    </row>
    <row r="571" spans="20:20">
      <c r="T571" s="9"/>
    </row>
    <row r="572" spans="20:20">
      <c r="T572" s="9"/>
    </row>
    <row r="573" spans="20:20">
      <c r="T573" s="9"/>
    </row>
    <row r="574" spans="20:20">
      <c r="T574" s="9"/>
    </row>
    <row r="575" spans="20:20">
      <c r="T575" s="9"/>
    </row>
    <row r="576" spans="20:20">
      <c r="T576" s="9"/>
    </row>
    <row r="577" spans="20:20">
      <c r="T577" s="9"/>
    </row>
    <row r="578" spans="20:20">
      <c r="T578" s="9"/>
    </row>
    <row r="579" spans="20:20">
      <c r="T579" s="9"/>
    </row>
    <row r="580" spans="20:20">
      <c r="T580" s="9"/>
    </row>
    <row r="581" spans="20:20">
      <c r="T581" s="9"/>
    </row>
    <row r="582" spans="20:20">
      <c r="T582" s="9"/>
    </row>
    <row r="583" spans="20:20">
      <c r="T583" s="9"/>
    </row>
    <row r="584" spans="20:20">
      <c r="T584" s="9"/>
    </row>
    <row r="585" spans="20:20">
      <c r="T585" s="9"/>
    </row>
    <row r="586" spans="20:20">
      <c r="T586" s="9"/>
    </row>
    <row r="587" spans="20:20">
      <c r="T587" s="9"/>
    </row>
    <row r="588" spans="20:20">
      <c r="T588" s="9"/>
    </row>
    <row r="589" spans="20:20">
      <c r="T589" s="9"/>
    </row>
    <row r="590" spans="20:20">
      <c r="T590" s="9"/>
    </row>
    <row r="591" spans="20:20">
      <c r="T591" s="9"/>
    </row>
    <row r="592" spans="20:20">
      <c r="T592" s="9"/>
    </row>
    <row r="593" spans="20:20">
      <c r="T593" s="9"/>
    </row>
    <row r="594" spans="20:20">
      <c r="T594" s="9"/>
    </row>
    <row r="595" spans="20:20">
      <c r="T595" s="9"/>
    </row>
    <row r="596" spans="20:20">
      <c r="T596" s="9"/>
    </row>
    <row r="597" spans="20:20">
      <c r="T597" s="9"/>
    </row>
    <row r="598" spans="20:20">
      <c r="T598" s="9"/>
    </row>
    <row r="599" spans="20:20">
      <c r="T599" s="9"/>
    </row>
    <row r="600" spans="20:20">
      <c r="T600" s="9"/>
    </row>
    <row r="601" spans="20:20">
      <c r="T601" s="9"/>
    </row>
    <row r="602" spans="20:20">
      <c r="T602" s="9"/>
    </row>
    <row r="603" spans="20:20">
      <c r="T603" s="9"/>
    </row>
    <row r="604" spans="20:20">
      <c r="T604" s="9"/>
    </row>
    <row r="605" spans="20:20">
      <c r="T605" s="9"/>
    </row>
    <row r="606" spans="20:20">
      <c r="T606" s="9"/>
    </row>
    <row r="607" spans="20:20">
      <c r="T607" s="9"/>
    </row>
    <row r="608" spans="20:20">
      <c r="T608" s="9"/>
    </row>
    <row r="609" spans="20:20">
      <c r="T609" s="9"/>
    </row>
    <row r="610" spans="20:20">
      <c r="T610" s="9"/>
    </row>
    <row r="611" spans="20:20">
      <c r="T611" s="9"/>
    </row>
    <row r="612" spans="20:20">
      <c r="T612" s="9"/>
    </row>
    <row r="613" spans="20:20">
      <c r="T613" s="9"/>
    </row>
    <row r="614" spans="20:20">
      <c r="T614" s="9"/>
    </row>
    <row r="615" spans="20:20">
      <c r="T615" s="9"/>
    </row>
    <row r="616" spans="20:20">
      <c r="T616" s="9"/>
    </row>
    <row r="617" spans="20:20">
      <c r="T617" s="9"/>
    </row>
    <row r="618" spans="20:20">
      <c r="T618" s="9"/>
    </row>
    <row r="619" spans="20:20">
      <c r="T619" s="9"/>
    </row>
    <row r="620" spans="20:20">
      <c r="T620" s="9"/>
    </row>
    <row r="621" spans="20:20">
      <c r="T621" s="9"/>
    </row>
    <row r="622" spans="20:20">
      <c r="T622" s="9"/>
    </row>
    <row r="623" spans="20:20">
      <c r="T623" s="9"/>
    </row>
    <row r="624" spans="20:20">
      <c r="T624" s="9"/>
    </row>
    <row r="625" spans="20:20">
      <c r="T625" s="9"/>
    </row>
    <row r="626" spans="20:20">
      <c r="T626" s="9"/>
    </row>
    <row r="627" spans="20:20">
      <c r="T627" s="9"/>
    </row>
    <row r="628" spans="20:20">
      <c r="T628" s="9"/>
    </row>
    <row r="629" spans="20:20">
      <c r="T629" s="9"/>
    </row>
    <row r="630" spans="20:20">
      <c r="T630" s="9"/>
    </row>
    <row r="631" spans="20:20">
      <c r="T631" s="9"/>
    </row>
    <row r="632" spans="20:20">
      <c r="T632" s="9"/>
    </row>
    <row r="633" spans="20:20">
      <c r="T633" s="9"/>
    </row>
    <row r="634" spans="20:20">
      <c r="T634" s="9"/>
    </row>
    <row r="635" spans="20:20">
      <c r="T635" s="9"/>
    </row>
    <row r="636" spans="20:20">
      <c r="T636" s="9"/>
    </row>
    <row r="637" spans="20:20">
      <c r="T637" s="9"/>
    </row>
    <row r="638" spans="20:20">
      <c r="T638" s="9"/>
    </row>
    <row r="639" spans="20:20">
      <c r="T639" s="9"/>
    </row>
    <row r="640" spans="20:20">
      <c r="T640" s="9"/>
    </row>
    <row r="641" spans="20:20">
      <c r="T641" s="9"/>
    </row>
    <row r="642" spans="20:20">
      <c r="T642" s="9"/>
    </row>
    <row r="643" spans="20:20">
      <c r="T643" s="9"/>
    </row>
    <row r="644" spans="20:20">
      <c r="T644" s="9"/>
    </row>
    <row r="645" spans="20:20">
      <c r="T645" s="9"/>
    </row>
    <row r="646" spans="20:20">
      <c r="T646" s="9"/>
    </row>
    <row r="647" spans="20:20">
      <c r="T647" s="9"/>
    </row>
    <row r="648" spans="20:20">
      <c r="T648" s="9"/>
    </row>
    <row r="649" spans="20:20">
      <c r="T649" s="9"/>
    </row>
    <row r="650" spans="20:20">
      <c r="T650" s="9"/>
    </row>
    <row r="651" spans="20:20">
      <c r="T651" s="9"/>
    </row>
    <row r="652" spans="20:20">
      <c r="T652" s="9"/>
    </row>
    <row r="653" spans="20:20">
      <c r="T653" s="9"/>
    </row>
    <row r="654" spans="20:20">
      <c r="T654" s="9"/>
    </row>
    <row r="655" spans="20:20">
      <c r="T655" s="9"/>
    </row>
    <row r="656" spans="20:20">
      <c r="T656" s="9"/>
    </row>
    <row r="657" spans="20:20">
      <c r="T657" s="9"/>
    </row>
    <row r="658" spans="20:20">
      <c r="T658" s="9"/>
    </row>
    <row r="659" spans="20:20">
      <c r="T659" s="9"/>
    </row>
    <row r="660" spans="20:20">
      <c r="T660" s="9"/>
    </row>
    <row r="661" spans="20:20">
      <c r="T661" s="9"/>
    </row>
    <row r="662" spans="20:20">
      <c r="T662" s="9"/>
    </row>
    <row r="663" spans="20:20">
      <c r="T663" s="9"/>
    </row>
    <row r="664" spans="20:20">
      <c r="T664" s="9"/>
    </row>
    <row r="665" spans="20:20">
      <c r="T665" s="9"/>
    </row>
    <row r="666" spans="20:20">
      <c r="T666" s="9"/>
    </row>
    <row r="667" spans="20:20">
      <c r="T667" s="9"/>
    </row>
    <row r="668" spans="20:20">
      <c r="T668" s="9"/>
    </row>
    <row r="669" spans="20:20">
      <c r="T669" s="9"/>
    </row>
    <row r="670" spans="20:20">
      <c r="T670" s="9"/>
    </row>
    <row r="671" spans="20:20">
      <c r="T671" s="9"/>
    </row>
    <row r="672" spans="20:20">
      <c r="T672" s="9"/>
    </row>
    <row r="673" spans="20:20">
      <c r="T673" s="9"/>
    </row>
    <row r="674" spans="20:20">
      <c r="T674" s="9"/>
    </row>
    <row r="675" spans="20:20">
      <c r="T675" s="9"/>
    </row>
    <row r="676" spans="20:20">
      <c r="T676" s="9"/>
    </row>
    <row r="677" spans="20:20">
      <c r="T677" s="9"/>
    </row>
    <row r="678" spans="20:20">
      <c r="T678" s="9"/>
    </row>
    <row r="679" spans="20:20">
      <c r="T679" s="9"/>
    </row>
    <row r="680" spans="20:20">
      <c r="T680" s="9"/>
    </row>
    <row r="681" spans="20:20">
      <c r="T681" s="9"/>
    </row>
    <row r="682" spans="20:20">
      <c r="T682" s="9"/>
    </row>
    <row r="683" spans="20:20">
      <c r="T683" s="9"/>
    </row>
    <row r="684" spans="20:20">
      <c r="T684" s="9"/>
    </row>
    <row r="685" spans="20:20">
      <c r="T685" s="9"/>
    </row>
    <row r="686" spans="20:20">
      <c r="T686" s="9"/>
    </row>
    <row r="687" spans="20:20">
      <c r="T687" s="9"/>
    </row>
    <row r="688" spans="20:20">
      <c r="T688" s="9"/>
    </row>
    <row r="689" spans="20:20">
      <c r="T689" s="9"/>
    </row>
    <row r="690" spans="20:20">
      <c r="T690" s="9"/>
    </row>
    <row r="691" spans="20:20">
      <c r="T691" s="9"/>
    </row>
    <row r="692" spans="20:20">
      <c r="T692" s="9"/>
    </row>
    <row r="693" spans="20:20">
      <c r="T693" s="9"/>
    </row>
    <row r="694" spans="20:20">
      <c r="T694" s="9"/>
    </row>
    <row r="695" spans="20:20">
      <c r="T695" s="9"/>
    </row>
    <row r="696" spans="20:20">
      <c r="T696" s="9"/>
    </row>
    <row r="697" spans="20:20">
      <c r="T697" s="9"/>
    </row>
    <row r="698" spans="20:20">
      <c r="T698" s="9"/>
    </row>
    <row r="699" spans="20:20">
      <c r="T699" s="9"/>
    </row>
    <row r="700" spans="20:20">
      <c r="T700" s="9"/>
    </row>
    <row r="701" spans="20:20">
      <c r="T701" s="9"/>
    </row>
    <row r="702" spans="20:20">
      <c r="T702" s="9"/>
    </row>
    <row r="703" spans="20:20">
      <c r="T703" s="9"/>
    </row>
    <row r="704" spans="20:20">
      <c r="T704" s="9"/>
    </row>
    <row r="705" spans="20:20">
      <c r="T705" s="9"/>
    </row>
    <row r="706" spans="20:20">
      <c r="T706" s="9"/>
    </row>
    <row r="707" spans="20:20">
      <c r="T707" s="9"/>
    </row>
    <row r="708" spans="20:20">
      <c r="T708" s="9"/>
    </row>
    <row r="709" spans="20:20">
      <c r="T709" s="9"/>
    </row>
    <row r="710" spans="20:20">
      <c r="T710" s="9"/>
    </row>
    <row r="711" spans="20:20">
      <c r="T711" s="9"/>
    </row>
    <row r="712" spans="20:20">
      <c r="T712" s="9"/>
    </row>
    <row r="713" spans="20:20">
      <c r="T713" s="9"/>
    </row>
    <row r="714" spans="20:20">
      <c r="T714" s="9"/>
    </row>
    <row r="715" spans="20:20">
      <c r="T715" s="9"/>
    </row>
    <row r="716" spans="20:20">
      <c r="T716" s="9"/>
    </row>
    <row r="717" spans="20:20">
      <c r="T717" s="9"/>
    </row>
    <row r="718" spans="20:20">
      <c r="T718" s="9"/>
    </row>
    <row r="719" spans="20:20">
      <c r="T719" s="9"/>
    </row>
    <row r="720" spans="20:20">
      <c r="T720" s="9"/>
    </row>
    <row r="721" spans="20:20">
      <c r="T721" s="9"/>
    </row>
    <row r="722" spans="20:20">
      <c r="T722" s="9"/>
    </row>
    <row r="723" spans="20:20">
      <c r="T723" s="9"/>
    </row>
    <row r="724" spans="20:20">
      <c r="T724" s="9"/>
    </row>
    <row r="725" spans="20:20">
      <c r="T725" s="9"/>
    </row>
    <row r="726" spans="20:20">
      <c r="T726" s="9"/>
    </row>
    <row r="727" spans="20:20">
      <c r="T727" s="9"/>
    </row>
    <row r="728" spans="20:20">
      <c r="T728" s="9"/>
    </row>
    <row r="729" spans="20:20">
      <c r="T729" s="9"/>
    </row>
    <row r="730" spans="20:20">
      <c r="T730" s="9"/>
    </row>
    <row r="731" spans="20:20">
      <c r="T731" s="9"/>
    </row>
    <row r="732" spans="20:20">
      <c r="T732" s="9"/>
    </row>
    <row r="733" spans="20:20">
      <c r="T733" s="9"/>
    </row>
    <row r="734" spans="20:20">
      <c r="T734" s="9"/>
    </row>
    <row r="735" spans="20:20">
      <c r="T735" s="9"/>
    </row>
    <row r="736" spans="20:20">
      <c r="T736" s="9"/>
    </row>
    <row r="737" spans="20:20">
      <c r="T737" s="9"/>
    </row>
    <row r="738" spans="20:20">
      <c r="T738" s="9"/>
    </row>
    <row r="739" spans="20:20">
      <c r="T739" s="9"/>
    </row>
    <row r="740" spans="20:20">
      <c r="T740" s="9"/>
    </row>
    <row r="741" spans="20:20">
      <c r="T741" s="9"/>
    </row>
    <row r="742" spans="20:20">
      <c r="T742" s="9"/>
    </row>
    <row r="743" spans="20:20">
      <c r="T743" s="9"/>
    </row>
    <row r="744" spans="20:20">
      <c r="T744" s="9"/>
    </row>
    <row r="745" spans="20:20">
      <c r="T745" s="9"/>
    </row>
    <row r="746" spans="20:20">
      <c r="T746" s="9"/>
    </row>
    <row r="747" spans="20:20">
      <c r="T747" s="9"/>
    </row>
    <row r="748" spans="20:20">
      <c r="T748" s="9"/>
    </row>
    <row r="749" spans="20:20">
      <c r="T749" s="9"/>
    </row>
    <row r="750" spans="20:20">
      <c r="T750" s="9"/>
    </row>
    <row r="751" spans="20:20">
      <c r="T751" s="9"/>
    </row>
    <row r="752" spans="20:20">
      <c r="T752" s="9"/>
    </row>
    <row r="753" spans="20:20">
      <c r="T753" s="9"/>
    </row>
    <row r="754" spans="20:20">
      <c r="T754" s="9"/>
    </row>
    <row r="755" spans="20:20">
      <c r="T755" s="9"/>
    </row>
    <row r="756" spans="20:20">
      <c r="T756" s="9"/>
    </row>
    <row r="757" spans="20:20">
      <c r="T757" s="9"/>
    </row>
    <row r="758" spans="20:20">
      <c r="T758" s="9"/>
    </row>
    <row r="759" spans="20:20">
      <c r="T759" s="9"/>
    </row>
    <row r="760" spans="20:20">
      <c r="T760" s="9"/>
    </row>
    <row r="761" spans="20:20">
      <c r="T761" s="9"/>
    </row>
    <row r="762" spans="20:20">
      <c r="T762" s="9"/>
    </row>
    <row r="763" spans="20:20">
      <c r="T763" s="9"/>
    </row>
    <row r="764" spans="20:20">
      <c r="T764" s="9"/>
    </row>
    <row r="765" spans="20:20">
      <c r="T765" s="9"/>
    </row>
    <row r="766" spans="20:20">
      <c r="T766" s="9"/>
    </row>
    <row r="767" spans="20:20">
      <c r="T767" s="9"/>
    </row>
    <row r="768" spans="20:20">
      <c r="T768" s="9"/>
    </row>
    <row r="769" spans="20:20">
      <c r="T769" s="9"/>
    </row>
    <row r="770" spans="20:20">
      <c r="T770" s="9"/>
    </row>
    <row r="771" spans="20:20">
      <c r="T771" s="9"/>
    </row>
    <row r="772" spans="20:20">
      <c r="T772" s="9"/>
    </row>
    <row r="773" spans="20:20">
      <c r="T773" s="9"/>
    </row>
    <row r="774" spans="20:20">
      <c r="T774" s="9"/>
    </row>
    <row r="775" spans="20:20">
      <c r="T775" s="9"/>
    </row>
    <row r="776" spans="20:20">
      <c r="T776" s="9"/>
    </row>
    <row r="777" spans="20:20">
      <c r="T777" s="9"/>
    </row>
    <row r="778" spans="20:20">
      <c r="T778" s="9"/>
    </row>
    <row r="779" spans="20:20">
      <c r="T779" s="9"/>
    </row>
    <row r="780" spans="20:20">
      <c r="T780" s="9"/>
    </row>
    <row r="781" spans="20:20">
      <c r="T781" s="9"/>
    </row>
    <row r="782" spans="20:20">
      <c r="T782" s="9"/>
    </row>
    <row r="783" spans="20:20">
      <c r="T783" s="9"/>
    </row>
    <row r="784" spans="20:20">
      <c r="T784" s="9"/>
    </row>
    <row r="785" spans="20:20">
      <c r="T785" s="9"/>
    </row>
    <row r="786" spans="20:20">
      <c r="T786" s="9"/>
    </row>
    <row r="787" spans="20:20">
      <c r="T787" s="9"/>
    </row>
    <row r="788" spans="20:20">
      <c r="T788" s="9"/>
    </row>
    <row r="789" spans="20:20">
      <c r="T789" s="9"/>
    </row>
    <row r="790" spans="20:20">
      <c r="T790" s="9"/>
    </row>
    <row r="791" spans="20:20">
      <c r="T791" s="9"/>
    </row>
    <row r="792" spans="20:20">
      <c r="T792" s="9"/>
    </row>
    <row r="793" spans="20:20">
      <c r="T793" s="9"/>
    </row>
    <row r="794" spans="20:20">
      <c r="T794" s="9"/>
    </row>
    <row r="795" spans="20:20">
      <c r="T795" s="9"/>
    </row>
    <row r="796" spans="20:20">
      <c r="T796" s="9"/>
    </row>
    <row r="797" spans="20:20">
      <c r="T797" s="9"/>
    </row>
    <row r="798" spans="20:20">
      <c r="T798" s="9"/>
    </row>
    <row r="799" spans="20:20">
      <c r="T799" s="9"/>
    </row>
    <row r="800" spans="20:20">
      <c r="T800" s="9"/>
    </row>
    <row r="801" spans="20:20">
      <c r="T801" s="9"/>
    </row>
    <row r="802" spans="20:20">
      <c r="T802" s="9"/>
    </row>
    <row r="803" spans="20:20">
      <c r="T803" s="9"/>
    </row>
    <row r="804" spans="20:20">
      <c r="T804" s="9"/>
    </row>
    <row r="805" spans="20:20">
      <c r="T805" s="9"/>
    </row>
    <row r="806" spans="20:20">
      <c r="T806" s="9"/>
    </row>
    <row r="807" spans="20:20">
      <c r="T807" s="9"/>
    </row>
    <row r="808" spans="20:20">
      <c r="T808" s="9"/>
    </row>
    <row r="809" spans="20:20">
      <c r="T809" s="9"/>
    </row>
    <row r="810" spans="20:20">
      <c r="T810" s="9"/>
    </row>
    <row r="811" spans="20:20">
      <c r="T811" s="9"/>
    </row>
    <row r="812" spans="20:20">
      <c r="T812" s="9"/>
    </row>
    <row r="813" spans="20:20">
      <c r="T813" s="9"/>
    </row>
    <row r="814" spans="20:20">
      <c r="T814" s="9"/>
    </row>
    <row r="815" spans="20:20">
      <c r="T815" s="9"/>
    </row>
    <row r="816" spans="20:20">
      <c r="T816" s="9"/>
    </row>
    <row r="817" spans="20:20">
      <c r="T817" s="9"/>
    </row>
    <row r="818" spans="20:20">
      <c r="T818" s="9"/>
    </row>
    <row r="819" spans="20:20">
      <c r="T819" s="9"/>
    </row>
    <row r="820" spans="20:20">
      <c r="T820" s="9"/>
    </row>
    <row r="821" spans="20:20">
      <c r="T821" s="9"/>
    </row>
    <row r="822" spans="20:20">
      <c r="T822" s="9"/>
    </row>
    <row r="823" spans="20:20">
      <c r="T823" s="9"/>
    </row>
    <row r="824" spans="20:20">
      <c r="T824" s="9"/>
    </row>
    <row r="825" spans="20:20">
      <c r="T825" s="9"/>
    </row>
    <row r="826" spans="20:20">
      <c r="T826" s="9"/>
    </row>
    <row r="827" spans="20:20">
      <c r="T827" s="9"/>
    </row>
    <row r="828" spans="20:20">
      <c r="T828" s="9"/>
    </row>
    <row r="829" spans="20:20">
      <c r="T829" s="9"/>
    </row>
    <row r="830" spans="20:20">
      <c r="T830" s="9"/>
    </row>
    <row r="831" spans="20:20">
      <c r="T831" s="9"/>
    </row>
    <row r="832" spans="20:20">
      <c r="T832" s="9"/>
    </row>
    <row r="833" spans="20:20">
      <c r="T833" s="9"/>
    </row>
    <row r="834" spans="20:20">
      <c r="T834" s="9"/>
    </row>
    <row r="835" spans="20:20">
      <c r="T835" s="9"/>
    </row>
    <row r="836" spans="20:20">
      <c r="T836" s="9"/>
    </row>
    <row r="837" spans="20:20">
      <c r="T837" s="9"/>
    </row>
    <row r="838" spans="20:20">
      <c r="T838" s="9"/>
    </row>
    <row r="839" spans="20:20">
      <c r="T839" s="9"/>
    </row>
    <row r="840" spans="20:20">
      <c r="T840" s="9"/>
    </row>
    <row r="841" spans="20:20">
      <c r="T841" s="9"/>
    </row>
    <row r="842" spans="20:20">
      <c r="T842" s="9"/>
    </row>
    <row r="843" spans="20:20">
      <c r="T843" s="9"/>
    </row>
    <row r="844" spans="20:20">
      <c r="T844" s="9"/>
    </row>
    <row r="845" spans="20:20">
      <c r="T845" s="9"/>
    </row>
    <row r="846" spans="20:20">
      <c r="T846" s="9"/>
    </row>
    <row r="847" spans="20:20">
      <c r="T847" s="9"/>
    </row>
    <row r="848" spans="20:20">
      <c r="T848" s="9"/>
    </row>
    <row r="849" spans="20:20">
      <c r="T849" s="9"/>
    </row>
    <row r="850" spans="20:20">
      <c r="T850" s="9"/>
    </row>
    <row r="851" spans="20:20">
      <c r="T851" s="9"/>
    </row>
    <row r="852" spans="20:20">
      <c r="T852" s="9"/>
    </row>
    <row r="853" spans="20:20">
      <c r="T853" s="9"/>
    </row>
    <row r="854" spans="20:20">
      <c r="T854" s="9"/>
    </row>
    <row r="855" spans="20:20">
      <c r="T855" s="9"/>
    </row>
    <row r="856" spans="20:20">
      <c r="T856" s="9"/>
    </row>
    <row r="857" spans="20:20">
      <c r="T857" s="9"/>
    </row>
    <row r="858" spans="20:20">
      <c r="T858" s="9"/>
    </row>
    <row r="859" spans="20:20">
      <c r="T859" s="9"/>
    </row>
    <row r="860" spans="20:20">
      <c r="T860" s="9"/>
    </row>
    <row r="861" spans="20:20">
      <c r="T861" s="9"/>
    </row>
    <row r="862" spans="20:20">
      <c r="T862" s="9"/>
    </row>
    <row r="863" spans="20:20">
      <c r="T863" s="9"/>
    </row>
    <row r="864" spans="20:20">
      <c r="T864" s="9"/>
    </row>
    <row r="865" spans="20:20">
      <c r="T865" s="9"/>
    </row>
    <row r="866" spans="20:20">
      <c r="T866" s="9"/>
    </row>
    <row r="867" spans="20:20">
      <c r="T867" s="9"/>
    </row>
    <row r="868" spans="20:20">
      <c r="T868" s="9"/>
    </row>
    <row r="869" spans="20:20">
      <c r="T869" s="9"/>
    </row>
    <row r="870" spans="20:20">
      <c r="T870" s="9"/>
    </row>
    <row r="871" spans="20:20">
      <c r="T871" s="9"/>
    </row>
    <row r="872" spans="20:20">
      <c r="T872" s="9"/>
    </row>
    <row r="873" spans="20:20">
      <c r="T873" s="9"/>
    </row>
    <row r="874" spans="20:20">
      <c r="T874" s="9"/>
    </row>
    <row r="875" spans="20:20">
      <c r="T875" s="9"/>
    </row>
    <row r="876" spans="20:20">
      <c r="T876" s="9"/>
    </row>
    <row r="877" spans="20:20">
      <c r="T877" s="9"/>
    </row>
    <row r="878" spans="20:20">
      <c r="T878" s="9"/>
    </row>
    <row r="879" spans="20:20">
      <c r="T879" s="9"/>
    </row>
    <row r="880" spans="20:20">
      <c r="T880" s="9"/>
    </row>
    <row r="881" spans="20:20">
      <c r="T881" s="9"/>
    </row>
    <row r="882" spans="20:20">
      <c r="T882" s="9"/>
    </row>
    <row r="883" spans="20:20">
      <c r="T883" s="9"/>
    </row>
    <row r="884" spans="20:20">
      <c r="T884" s="9"/>
    </row>
    <row r="885" spans="20:20">
      <c r="T885" s="9"/>
    </row>
    <row r="886" spans="20:20">
      <c r="T886" s="9"/>
    </row>
    <row r="887" spans="20:20">
      <c r="T887" s="9"/>
    </row>
    <row r="888" spans="20:20">
      <c r="T888" s="9"/>
    </row>
    <row r="889" spans="20:20">
      <c r="T889" s="9"/>
    </row>
    <row r="890" spans="20:20">
      <c r="T890" s="9"/>
    </row>
    <row r="891" spans="20:20">
      <c r="T891" s="9"/>
    </row>
    <row r="892" spans="20:20">
      <c r="T892" s="9"/>
    </row>
    <row r="893" spans="20:20">
      <c r="T893" s="9"/>
    </row>
    <row r="894" spans="20:20">
      <c r="T894" s="9"/>
    </row>
    <row r="895" spans="20:20">
      <c r="T895" s="9"/>
    </row>
    <row r="896" spans="20:20">
      <c r="T896" s="9"/>
    </row>
    <row r="897" spans="20:20">
      <c r="T897" s="9"/>
    </row>
    <row r="898" spans="20:20">
      <c r="T898" s="9"/>
    </row>
    <row r="899" spans="20:20">
      <c r="T899" s="9"/>
    </row>
    <row r="900" spans="20:20">
      <c r="T900" s="9"/>
    </row>
    <row r="901" spans="20:20">
      <c r="T901" s="9"/>
    </row>
    <row r="902" spans="20:20">
      <c r="T902" s="9"/>
    </row>
    <row r="903" spans="20:20">
      <c r="T903" s="9"/>
    </row>
    <row r="904" spans="20:20">
      <c r="T904" s="9"/>
    </row>
    <row r="905" spans="20:20">
      <c r="T905" s="9"/>
    </row>
    <row r="906" spans="20:20">
      <c r="T906" s="9"/>
    </row>
    <row r="907" spans="20:20">
      <c r="T907" s="9"/>
    </row>
    <row r="908" spans="20:20">
      <c r="T908" s="9"/>
    </row>
    <row r="909" spans="20:20">
      <c r="T909" s="9"/>
    </row>
    <row r="910" spans="20:20">
      <c r="T910" s="9"/>
    </row>
    <row r="911" spans="20:20">
      <c r="T911" s="9"/>
    </row>
    <row r="912" spans="20:20">
      <c r="T912" s="9"/>
    </row>
    <row r="913" spans="20:20">
      <c r="T913" s="9"/>
    </row>
    <row r="914" spans="20:20">
      <c r="T914" s="9"/>
    </row>
    <row r="915" spans="20:20">
      <c r="T915" s="9"/>
    </row>
    <row r="916" spans="20:20">
      <c r="T916" s="9"/>
    </row>
    <row r="917" spans="20:20">
      <c r="T917" s="9"/>
    </row>
    <row r="918" spans="20:20">
      <c r="T918" s="9"/>
    </row>
    <row r="919" spans="20:20">
      <c r="T919" s="9"/>
    </row>
    <row r="920" spans="20:20">
      <c r="T920" s="9"/>
    </row>
    <row r="921" spans="20:20">
      <c r="T921" s="9"/>
    </row>
    <row r="922" spans="20:20">
      <c r="T922" s="9"/>
    </row>
    <row r="923" spans="20:20">
      <c r="T923" s="9"/>
    </row>
    <row r="924" spans="20:20">
      <c r="T924" s="9"/>
    </row>
    <row r="925" spans="20:20">
      <c r="T925" s="9"/>
    </row>
    <row r="926" spans="20:20">
      <c r="T926" s="9"/>
    </row>
    <row r="927" spans="20:20">
      <c r="T927" s="9"/>
    </row>
    <row r="928" spans="20:20">
      <c r="T928" s="9"/>
    </row>
    <row r="929" spans="20:20">
      <c r="T929" s="9"/>
    </row>
    <row r="930" spans="20:20">
      <c r="T930" s="9"/>
    </row>
    <row r="931" spans="20:20">
      <c r="T931" s="9"/>
    </row>
    <row r="932" spans="20:20">
      <c r="T932" s="9"/>
    </row>
    <row r="933" spans="20:20">
      <c r="T933" s="9"/>
    </row>
    <row r="934" spans="20:20">
      <c r="T934" s="9"/>
    </row>
    <row r="935" spans="20:20">
      <c r="T935" s="9"/>
    </row>
    <row r="936" spans="20:20">
      <c r="T936" s="9"/>
    </row>
    <row r="937" spans="20:20">
      <c r="T937" s="9"/>
    </row>
    <row r="938" spans="20:20">
      <c r="T938" s="9"/>
    </row>
    <row r="939" spans="20:20">
      <c r="T939" s="9"/>
    </row>
    <row r="940" spans="20:20">
      <c r="T940" s="9"/>
    </row>
    <row r="941" spans="20:20">
      <c r="T941" s="9"/>
    </row>
    <row r="942" spans="20:20">
      <c r="T942" s="9"/>
    </row>
    <row r="943" spans="20:20">
      <c r="T943" s="9"/>
    </row>
    <row r="944" spans="20:20">
      <c r="T944" s="9"/>
    </row>
    <row r="945" spans="20:20">
      <c r="T945" s="9"/>
    </row>
    <row r="946" spans="20:20">
      <c r="T946" s="9"/>
    </row>
    <row r="947" spans="20:20">
      <c r="T947" s="9"/>
    </row>
    <row r="948" spans="20:20">
      <c r="T948" s="9"/>
    </row>
    <row r="949" spans="20:20">
      <c r="T949" s="9"/>
    </row>
    <row r="950" spans="20:20">
      <c r="T950" s="9"/>
    </row>
    <row r="951" spans="20:20">
      <c r="T951" s="9"/>
    </row>
    <row r="952" spans="20:20">
      <c r="T952" s="9"/>
    </row>
    <row r="953" spans="20:20">
      <c r="T953" s="9"/>
    </row>
    <row r="954" spans="20:20">
      <c r="T954" s="9"/>
    </row>
    <row r="955" spans="20:20">
      <c r="T955" s="9"/>
    </row>
    <row r="956" spans="20:20">
      <c r="T956" s="9"/>
    </row>
    <row r="957" spans="20:20">
      <c r="T957" s="9"/>
    </row>
    <row r="958" spans="20:20">
      <c r="T958" s="9"/>
    </row>
    <row r="959" spans="20:20">
      <c r="T959" s="9"/>
    </row>
    <row r="960" spans="20:20">
      <c r="T960" s="9"/>
    </row>
    <row r="961" spans="20:20">
      <c r="T961" s="9"/>
    </row>
    <row r="962" spans="20:20">
      <c r="T962" s="9"/>
    </row>
    <row r="963" spans="20:20">
      <c r="T963" s="9"/>
    </row>
    <row r="964" spans="20:20">
      <c r="T964" s="9"/>
    </row>
    <row r="965" spans="20:20">
      <c r="T965" s="9"/>
    </row>
    <row r="966" spans="20:20">
      <c r="T966" s="9"/>
    </row>
    <row r="967" spans="20:20">
      <c r="T967" s="9"/>
    </row>
    <row r="968" spans="20:20">
      <c r="T968" s="9"/>
    </row>
    <row r="969" spans="20:20">
      <c r="T969" s="9"/>
    </row>
    <row r="970" spans="20:20">
      <c r="T970" s="9"/>
    </row>
    <row r="971" spans="20:20">
      <c r="T971" s="9"/>
    </row>
    <row r="972" spans="20:20">
      <c r="T972" s="9"/>
    </row>
    <row r="973" spans="20:20">
      <c r="T973" s="9"/>
    </row>
    <row r="974" spans="20:20">
      <c r="T974" s="9"/>
    </row>
    <row r="975" spans="20:20">
      <c r="T975" s="9"/>
    </row>
    <row r="976" spans="20:20">
      <c r="T976" s="9"/>
    </row>
    <row r="977" spans="20:20">
      <c r="T977" s="9"/>
    </row>
    <row r="978" spans="20:20">
      <c r="T978" s="9"/>
    </row>
    <row r="979" spans="20:20">
      <c r="T979" s="9"/>
    </row>
    <row r="980" spans="20:20">
      <c r="T980" s="9"/>
    </row>
    <row r="981" spans="20:20">
      <c r="T981" s="9"/>
    </row>
    <row r="982" spans="20:20">
      <c r="T982" s="9"/>
    </row>
    <row r="983" spans="20:20">
      <c r="T983" s="9"/>
    </row>
    <row r="984" spans="20:20">
      <c r="T984" s="9"/>
    </row>
    <row r="985" spans="20:20">
      <c r="T985" s="9"/>
    </row>
    <row r="986" spans="20:20">
      <c r="T986" s="9"/>
    </row>
    <row r="987" spans="20:20">
      <c r="T987" s="9"/>
    </row>
    <row r="988" spans="20:20">
      <c r="T988" s="9"/>
    </row>
    <row r="989" spans="20:20">
      <c r="T989" s="9"/>
    </row>
    <row r="990" spans="20:20">
      <c r="T990" s="9"/>
    </row>
    <row r="991" spans="20:20">
      <c r="T991" s="9"/>
    </row>
    <row r="992" spans="20:20">
      <c r="T992" s="9"/>
    </row>
    <row r="993" spans="20:20">
      <c r="T993" s="9"/>
    </row>
    <row r="994" spans="20:20">
      <c r="T994" s="9"/>
    </row>
    <row r="995" spans="20:20">
      <c r="T995" s="9"/>
    </row>
    <row r="996" spans="20:20">
      <c r="T996" s="9"/>
    </row>
    <row r="997" spans="20:20">
      <c r="T997" s="9"/>
    </row>
    <row r="998" spans="20:20">
      <c r="T998" s="9"/>
    </row>
    <row r="999" spans="20:20">
      <c r="T999" s="9"/>
    </row>
    <row r="1000" spans="20:20">
      <c r="T1000" s="9"/>
    </row>
    <row r="1001" spans="20:20">
      <c r="T1001" s="9"/>
    </row>
    <row r="1002" spans="20:20">
      <c r="T1002" s="9"/>
    </row>
    <row r="1003" spans="20:20">
      <c r="T1003" s="9"/>
    </row>
    <row r="1004" spans="20:20">
      <c r="T1004" s="9"/>
    </row>
    <row r="1005" spans="20:20">
      <c r="T1005" s="9"/>
    </row>
    <row r="1006" spans="20:20">
      <c r="T1006" s="9"/>
    </row>
    <row r="1007" spans="20:20">
      <c r="T1007" s="9"/>
    </row>
    <row r="1008" spans="20:20">
      <c r="T1008" s="9"/>
    </row>
    <row r="1009" spans="20:20">
      <c r="T1009" s="9"/>
    </row>
    <row r="1010" spans="20:20">
      <c r="T1010" s="9"/>
    </row>
    <row r="1011" spans="20:20">
      <c r="T1011" s="9"/>
    </row>
    <row r="1012" spans="20:20">
      <c r="T1012" s="9"/>
    </row>
    <row r="1013" spans="20:20">
      <c r="T1013" s="9"/>
    </row>
    <row r="1014" spans="20:20">
      <c r="T1014" s="9"/>
    </row>
    <row r="1015" spans="20:20">
      <c r="T1015" s="9"/>
    </row>
    <row r="1016" spans="20:20">
      <c r="T1016" s="9"/>
    </row>
    <row r="1017" spans="20:20">
      <c r="T1017" s="9"/>
    </row>
    <row r="1018" spans="20:20">
      <c r="T1018" s="9"/>
    </row>
    <row r="1019" spans="20:20">
      <c r="T1019" s="9"/>
    </row>
    <row r="1020" spans="20:20">
      <c r="T1020" s="9"/>
    </row>
    <row r="1021" spans="20:20">
      <c r="T1021" s="9"/>
    </row>
    <row r="1022" spans="20:20">
      <c r="T1022" s="9"/>
    </row>
    <row r="1023" spans="20:20">
      <c r="T1023" s="9"/>
    </row>
    <row r="1024" spans="20:20">
      <c r="T1024" s="9"/>
    </row>
    <row r="1025" spans="20:20">
      <c r="T1025" s="9"/>
    </row>
    <row r="1026" spans="20:20">
      <c r="T1026" s="9"/>
    </row>
    <row r="1027" spans="20:20">
      <c r="T1027" s="9"/>
    </row>
    <row r="1028" spans="20:20">
      <c r="T1028" s="9"/>
    </row>
    <row r="1029" spans="20:20">
      <c r="T1029" s="9"/>
    </row>
    <row r="1030" spans="20:20">
      <c r="T1030" s="9"/>
    </row>
    <row r="1031" spans="20:20">
      <c r="T1031" s="9"/>
    </row>
    <row r="1032" spans="20:20">
      <c r="T1032" s="9"/>
    </row>
    <row r="1033" spans="20:20">
      <c r="T1033" s="9"/>
    </row>
    <row r="1034" spans="20:20">
      <c r="T1034" s="9"/>
    </row>
    <row r="1035" spans="20:20">
      <c r="T1035" s="9"/>
    </row>
    <row r="1036" spans="20:20">
      <c r="T1036" s="9"/>
    </row>
    <row r="1037" spans="20:20">
      <c r="T1037" s="9"/>
    </row>
    <row r="1038" spans="20:20">
      <c r="T1038" s="9"/>
    </row>
    <row r="1039" spans="20:20">
      <c r="T1039" s="9"/>
    </row>
    <row r="1040" spans="20:20">
      <c r="T1040" s="9"/>
    </row>
    <row r="1041" spans="20:20">
      <c r="T1041" s="9"/>
    </row>
    <row r="1042" spans="20:20">
      <c r="T1042" s="9"/>
    </row>
    <row r="1043" spans="20:20">
      <c r="T1043" s="9"/>
    </row>
    <row r="1044" spans="20:20">
      <c r="T1044" s="9"/>
    </row>
    <row r="1045" spans="20:20">
      <c r="T1045" s="9"/>
    </row>
    <row r="1046" spans="20:20">
      <c r="T1046" s="9"/>
    </row>
    <row r="1047" spans="20:20">
      <c r="T1047" s="9"/>
    </row>
    <row r="1048" spans="20:20">
      <c r="T1048" s="9"/>
    </row>
    <row r="1049" spans="20:20">
      <c r="T1049" s="9"/>
    </row>
    <row r="1050" spans="20:20">
      <c r="T1050" s="9"/>
    </row>
    <row r="1051" spans="20:20">
      <c r="T1051" s="9"/>
    </row>
    <row r="1052" spans="20:20">
      <c r="T1052" s="9"/>
    </row>
    <row r="1053" spans="20:20">
      <c r="T1053" s="9"/>
    </row>
    <row r="1054" spans="20:20">
      <c r="T1054" s="9"/>
    </row>
    <row r="1055" spans="20:20">
      <c r="T1055" s="9"/>
    </row>
    <row r="1056" spans="20:20">
      <c r="T1056" s="9"/>
    </row>
    <row r="1057" spans="20:20">
      <c r="T1057" s="9"/>
    </row>
    <row r="1058" spans="20:20">
      <c r="T1058" s="9"/>
    </row>
    <row r="1059" spans="20:20">
      <c r="T1059" s="9"/>
    </row>
    <row r="1060" spans="20:20">
      <c r="T1060" s="9"/>
    </row>
    <row r="1061" spans="20:20">
      <c r="T1061" s="9"/>
    </row>
    <row r="1062" spans="20:20">
      <c r="T1062" s="9"/>
    </row>
    <row r="1063" spans="20:20">
      <c r="T1063" s="9"/>
    </row>
    <row r="1064" spans="20:20">
      <c r="T1064" s="9"/>
    </row>
    <row r="1065" spans="20:20">
      <c r="T1065" s="9"/>
    </row>
    <row r="1066" spans="20:20">
      <c r="T1066" s="9"/>
    </row>
    <row r="1067" spans="20:20">
      <c r="T1067" s="9"/>
    </row>
    <row r="1068" spans="20:20">
      <c r="T1068" s="9"/>
    </row>
    <row r="1069" spans="20:20">
      <c r="T1069" s="9"/>
    </row>
    <row r="1070" spans="20:20">
      <c r="T1070" s="9"/>
    </row>
    <row r="1071" spans="20:20">
      <c r="T1071" s="9"/>
    </row>
    <row r="1072" spans="20:20">
      <c r="T1072" s="9"/>
    </row>
    <row r="1073" spans="20:20">
      <c r="T1073" s="9"/>
    </row>
    <row r="1074" spans="20:20">
      <c r="T1074" s="9"/>
    </row>
    <row r="1075" spans="20:20">
      <c r="T1075" s="9"/>
    </row>
    <row r="1076" spans="20:20">
      <c r="T1076" s="9"/>
    </row>
    <row r="1077" spans="20:20">
      <c r="T1077" s="9"/>
    </row>
    <row r="1078" spans="20:20">
      <c r="T1078" s="9"/>
    </row>
    <row r="1079" spans="20:20">
      <c r="T1079" s="9"/>
    </row>
    <row r="1080" spans="20:20">
      <c r="T1080" s="9"/>
    </row>
    <row r="1081" spans="20:20">
      <c r="T1081" s="9"/>
    </row>
    <row r="1082" spans="20:20">
      <c r="T1082" s="9"/>
    </row>
    <row r="1083" spans="20:20">
      <c r="T1083" s="9"/>
    </row>
    <row r="1084" spans="20:20">
      <c r="T1084" s="9"/>
    </row>
    <row r="1085" spans="20:20">
      <c r="T1085" s="9"/>
    </row>
    <row r="1086" spans="20:20">
      <c r="T1086" s="9"/>
    </row>
    <row r="1087" spans="20:20">
      <c r="T1087" s="9"/>
    </row>
    <row r="1088" spans="20:20">
      <c r="T1088" s="9"/>
    </row>
    <row r="1089" spans="20:20">
      <c r="T1089" s="9"/>
    </row>
    <row r="1090" spans="20:20">
      <c r="T1090" s="9"/>
    </row>
    <row r="1091" spans="20:20">
      <c r="T1091" s="9"/>
    </row>
    <row r="1092" spans="20:20">
      <c r="T1092" s="9"/>
    </row>
    <row r="1093" spans="20:20">
      <c r="T1093" s="9"/>
    </row>
    <row r="1094" spans="20:20">
      <c r="T1094" s="9"/>
    </row>
    <row r="1095" spans="20:20">
      <c r="T1095" s="9"/>
    </row>
    <row r="1096" spans="20:20">
      <c r="T1096" s="9"/>
    </row>
    <row r="1097" spans="20:20">
      <c r="T1097" s="9"/>
    </row>
    <row r="1098" spans="20:20">
      <c r="T1098" s="9"/>
    </row>
    <row r="1099" spans="20:20">
      <c r="T1099" s="9"/>
    </row>
    <row r="1100" spans="20:20">
      <c r="T1100" s="9"/>
    </row>
    <row r="1101" spans="20:20">
      <c r="T1101" s="9"/>
    </row>
    <row r="1102" spans="20:20">
      <c r="T1102" s="9"/>
    </row>
    <row r="1103" spans="20:20">
      <c r="T1103" s="9"/>
    </row>
    <row r="1104" spans="20:20">
      <c r="T1104" s="9"/>
    </row>
    <row r="1105" spans="20:20">
      <c r="T1105" s="9"/>
    </row>
    <row r="1106" spans="20:20">
      <c r="T1106" s="9"/>
    </row>
    <row r="1107" spans="20:20">
      <c r="T1107" s="9"/>
    </row>
    <row r="1108" spans="20:20">
      <c r="T1108" s="9"/>
    </row>
    <row r="1109" spans="20:20">
      <c r="T1109" s="9"/>
    </row>
    <row r="1110" spans="20:20">
      <c r="T1110" s="9"/>
    </row>
    <row r="1111" spans="20:20">
      <c r="T1111" s="9"/>
    </row>
    <row r="1112" spans="20:20">
      <c r="T1112" s="9"/>
    </row>
    <row r="1113" spans="20:20">
      <c r="T1113" s="9"/>
    </row>
    <row r="1114" spans="20:20">
      <c r="T1114" s="9"/>
    </row>
    <row r="1115" spans="20:20">
      <c r="T1115" s="9"/>
    </row>
    <row r="1116" spans="20:20">
      <c r="T1116" s="9"/>
    </row>
    <row r="1117" spans="20:20">
      <c r="T1117" s="9"/>
    </row>
    <row r="1118" spans="20:20">
      <c r="T1118" s="9"/>
    </row>
    <row r="1119" spans="20:20">
      <c r="T1119" s="9"/>
    </row>
    <row r="1120" spans="20:20">
      <c r="T1120" s="9"/>
    </row>
    <row r="1121" spans="20:20">
      <c r="T1121" s="9"/>
    </row>
    <row r="1122" spans="20:20">
      <c r="T1122" s="9"/>
    </row>
    <row r="1123" spans="20:20">
      <c r="T1123" s="9"/>
    </row>
    <row r="1124" spans="20:20">
      <c r="T1124" s="9"/>
    </row>
    <row r="1125" spans="20:20">
      <c r="T1125" s="9"/>
    </row>
    <row r="1126" spans="20:20">
      <c r="T1126" s="9"/>
    </row>
    <row r="1127" spans="20:20">
      <c r="T1127" s="9"/>
    </row>
    <row r="1128" spans="20:20">
      <c r="T1128" s="9"/>
    </row>
    <row r="1129" spans="20:20">
      <c r="T1129" s="9"/>
    </row>
    <row r="1130" spans="20:20">
      <c r="T1130" s="9"/>
    </row>
    <row r="1131" spans="20:20">
      <c r="T1131" s="9"/>
    </row>
    <row r="1132" spans="20:20">
      <c r="T1132" s="9"/>
    </row>
    <row r="1133" spans="20:20">
      <c r="T1133" s="9"/>
    </row>
    <row r="1134" spans="20:20">
      <c r="T1134" s="9"/>
    </row>
    <row r="1135" spans="20:20">
      <c r="T1135" s="9"/>
    </row>
    <row r="1136" spans="20:20">
      <c r="T1136" s="9"/>
    </row>
    <row r="1137" spans="20:20">
      <c r="T1137" s="9"/>
    </row>
    <row r="1138" spans="20:20">
      <c r="T1138" s="9"/>
    </row>
    <row r="1139" spans="20:20">
      <c r="T1139" s="9"/>
    </row>
    <row r="1140" spans="20:20">
      <c r="T1140" s="9"/>
    </row>
    <row r="1141" spans="20:20">
      <c r="T1141" s="9"/>
    </row>
    <row r="1142" spans="20:20">
      <c r="T1142" s="9"/>
    </row>
    <row r="1143" spans="20:20">
      <c r="T1143" s="9"/>
    </row>
    <row r="1144" spans="20:20">
      <c r="T1144" s="9"/>
    </row>
    <row r="1145" spans="20:20">
      <c r="T1145" s="9"/>
    </row>
    <row r="1146" spans="20:20">
      <c r="T1146" s="9"/>
    </row>
    <row r="1147" spans="20:20">
      <c r="T1147" s="9"/>
    </row>
    <row r="1148" spans="20:20">
      <c r="T1148" s="9"/>
    </row>
    <row r="1149" spans="20:20">
      <c r="T1149" s="9"/>
    </row>
    <row r="1150" spans="20:20">
      <c r="T1150" s="9"/>
    </row>
    <row r="1151" spans="20:20">
      <c r="T1151" s="9"/>
    </row>
    <row r="1152" spans="20:20">
      <c r="T1152" s="9"/>
    </row>
    <row r="1153" spans="20:20">
      <c r="T1153" s="9"/>
    </row>
    <row r="1154" spans="20:20">
      <c r="T1154" s="9"/>
    </row>
    <row r="1155" spans="20:20">
      <c r="T1155" s="9"/>
    </row>
    <row r="1156" spans="20:20">
      <c r="T1156" s="9"/>
    </row>
    <row r="1157" spans="20:20">
      <c r="T1157" s="9"/>
    </row>
    <row r="1158" spans="20:20">
      <c r="T1158" s="9"/>
    </row>
    <row r="1159" spans="20:20">
      <c r="T1159" s="9"/>
    </row>
    <row r="1160" spans="20:20">
      <c r="T1160" s="9"/>
    </row>
    <row r="1161" spans="20:20">
      <c r="T1161" s="9"/>
    </row>
    <row r="1162" spans="20:20">
      <c r="T1162" s="9"/>
    </row>
    <row r="1163" spans="20:20">
      <c r="T1163" s="9"/>
    </row>
    <row r="1164" spans="20:20">
      <c r="T1164" s="9"/>
    </row>
    <row r="1165" spans="20:20">
      <c r="T1165" s="9"/>
    </row>
    <row r="1166" spans="20:20">
      <c r="T1166" s="9"/>
    </row>
    <row r="1167" spans="20:20">
      <c r="T1167" s="9"/>
    </row>
    <row r="1168" spans="20:20">
      <c r="T1168" s="9"/>
    </row>
    <row r="1169" spans="20:20">
      <c r="T1169" s="9"/>
    </row>
    <row r="1170" spans="20:20">
      <c r="T1170" s="9"/>
    </row>
    <row r="1171" spans="20:20">
      <c r="T1171" s="9"/>
    </row>
    <row r="1172" spans="20:20">
      <c r="T1172" s="9"/>
    </row>
    <row r="1173" spans="20:20">
      <c r="T1173" s="9"/>
    </row>
    <row r="1174" spans="20:20">
      <c r="T1174" s="9"/>
    </row>
    <row r="1175" spans="20:20">
      <c r="T1175" s="9"/>
    </row>
    <row r="1176" spans="20:20">
      <c r="T1176" s="9"/>
    </row>
    <row r="1177" spans="20:20">
      <c r="T1177" s="9"/>
    </row>
    <row r="1178" spans="20:20">
      <c r="T1178" s="9"/>
    </row>
    <row r="1179" spans="20:20">
      <c r="T1179" s="9"/>
    </row>
    <row r="1180" spans="20:20">
      <c r="T1180" s="9"/>
    </row>
    <row r="1181" spans="20:20">
      <c r="T1181" s="9"/>
    </row>
    <row r="1182" spans="20:20">
      <c r="T1182" s="9"/>
    </row>
    <row r="1183" spans="20:20">
      <c r="T1183" s="9"/>
    </row>
    <row r="1184" spans="20:20">
      <c r="T1184" s="9"/>
    </row>
    <row r="1185" spans="20:20">
      <c r="T1185" s="9"/>
    </row>
    <row r="1186" spans="20:20">
      <c r="T1186" s="9"/>
    </row>
    <row r="1187" spans="20:20">
      <c r="T1187" s="9"/>
    </row>
    <row r="1188" spans="20:20">
      <c r="T1188" s="9"/>
    </row>
    <row r="1189" spans="20:20">
      <c r="T1189" s="9"/>
    </row>
    <row r="1190" spans="20:20">
      <c r="T1190" s="9"/>
    </row>
    <row r="1191" spans="20:20">
      <c r="T1191" s="9"/>
    </row>
    <row r="1192" spans="20:20">
      <c r="T1192" s="9"/>
    </row>
    <row r="1193" spans="20:20">
      <c r="T1193" s="9"/>
    </row>
    <row r="1194" spans="20:20">
      <c r="T1194" s="9"/>
    </row>
    <row r="1195" spans="20:20">
      <c r="T1195" s="9"/>
    </row>
    <row r="1196" spans="20:20">
      <c r="T1196" s="9"/>
    </row>
    <row r="1197" spans="20:20">
      <c r="T1197" s="9"/>
    </row>
    <row r="1198" spans="20:20">
      <c r="T1198" s="9"/>
    </row>
    <row r="1199" spans="20:20">
      <c r="T1199" s="9"/>
    </row>
    <row r="1200" spans="20:20">
      <c r="T1200" s="9"/>
    </row>
    <row r="1201" spans="20:20">
      <c r="T1201" s="9"/>
    </row>
    <row r="1202" spans="20:20">
      <c r="T1202" s="9"/>
    </row>
    <row r="1203" spans="20:20">
      <c r="T1203" s="9"/>
    </row>
    <row r="1204" spans="20:20">
      <c r="T1204" s="9"/>
    </row>
    <row r="1205" spans="20:20">
      <c r="T1205" s="9"/>
    </row>
    <row r="1206" spans="20:20">
      <c r="T1206" s="9"/>
    </row>
    <row r="1207" spans="20:20">
      <c r="T1207" s="9"/>
    </row>
    <row r="1208" spans="20:20">
      <c r="T1208" s="9"/>
    </row>
    <row r="1209" spans="20:20">
      <c r="T1209" s="9"/>
    </row>
    <row r="1210" spans="20:20">
      <c r="T1210" s="9"/>
    </row>
    <row r="1211" spans="20:20">
      <c r="T1211" s="9"/>
    </row>
    <row r="1212" spans="20:20">
      <c r="T1212" s="9"/>
    </row>
    <row r="1213" spans="20:20">
      <c r="T1213" s="9"/>
    </row>
    <row r="1214" spans="20:20">
      <c r="T1214" s="9"/>
    </row>
    <row r="1215" spans="20:20">
      <c r="T1215" s="9"/>
    </row>
    <row r="1216" spans="20:20">
      <c r="T1216" s="9"/>
    </row>
    <row r="1217" spans="20:20">
      <c r="T1217" s="9"/>
    </row>
    <row r="1218" spans="20:20">
      <c r="T1218" s="9"/>
    </row>
    <row r="1219" spans="20:20">
      <c r="T1219" s="9"/>
    </row>
    <row r="1220" spans="20:20">
      <c r="T1220" s="9"/>
    </row>
    <row r="1221" spans="20:20">
      <c r="T1221" s="9"/>
    </row>
    <row r="1222" spans="20:20">
      <c r="T1222" s="9"/>
    </row>
    <row r="1223" spans="20:20">
      <c r="T1223" s="9"/>
    </row>
    <row r="1224" spans="20:20">
      <c r="T1224" s="9"/>
    </row>
    <row r="1225" spans="20:20">
      <c r="T1225" s="9"/>
    </row>
    <row r="1226" spans="20:20">
      <c r="T1226" s="9"/>
    </row>
    <row r="1227" spans="20:20">
      <c r="T1227" s="9"/>
    </row>
    <row r="1228" spans="20:20">
      <c r="T1228" s="9"/>
    </row>
    <row r="1229" spans="20:20">
      <c r="T1229" s="9"/>
    </row>
    <row r="1230" spans="20:20">
      <c r="T1230" s="9"/>
    </row>
    <row r="1231" spans="20:20">
      <c r="T1231" s="9"/>
    </row>
    <row r="1232" spans="20:20">
      <c r="T1232" s="9"/>
    </row>
    <row r="1233" spans="20:20">
      <c r="T1233" s="9"/>
    </row>
    <row r="1234" spans="20:20">
      <c r="T1234" s="9"/>
    </row>
    <row r="1235" spans="20:20">
      <c r="T1235" s="9"/>
    </row>
    <row r="1236" spans="20:20">
      <c r="T1236" s="9"/>
    </row>
    <row r="1237" spans="20:20">
      <c r="T1237" s="9"/>
    </row>
    <row r="1238" spans="20:20">
      <c r="T1238" s="9"/>
    </row>
    <row r="1239" spans="20:20">
      <c r="T1239" s="9"/>
    </row>
    <row r="1240" spans="20:20">
      <c r="T1240" s="9"/>
    </row>
    <row r="1241" spans="20:20">
      <c r="T1241" s="9"/>
    </row>
    <row r="1242" spans="20:20">
      <c r="T1242" s="9"/>
    </row>
    <row r="1243" spans="20:20">
      <c r="T1243" s="9"/>
    </row>
    <row r="1244" spans="20:20">
      <c r="T1244" s="9"/>
    </row>
    <row r="1245" spans="20:20">
      <c r="T1245" s="9"/>
    </row>
    <row r="1246" spans="20:20">
      <c r="T1246" s="9"/>
    </row>
    <row r="1247" spans="20:20">
      <c r="T1247" s="9"/>
    </row>
    <row r="1248" spans="20:20">
      <c r="T1248" s="9"/>
    </row>
    <row r="1249" spans="20:20">
      <c r="T1249" s="9"/>
    </row>
    <row r="1250" spans="20:20">
      <c r="T1250" s="9"/>
    </row>
    <row r="1251" spans="20:20">
      <c r="T1251" s="9"/>
    </row>
    <row r="1252" spans="20:20">
      <c r="T1252" s="9"/>
    </row>
    <row r="1253" spans="20:20">
      <c r="T1253" s="9"/>
    </row>
    <row r="1254" spans="20:20">
      <c r="T1254" s="9"/>
    </row>
    <row r="1255" spans="20:20">
      <c r="T1255" s="9"/>
    </row>
    <row r="1256" spans="20:20">
      <c r="T1256" s="9"/>
    </row>
    <row r="1257" spans="20:20">
      <c r="T1257" s="9"/>
    </row>
    <row r="1258" spans="20:20">
      <c r="T1258" s="9"/>
    </row>
    <row r="1259" spans="20:20">
      <c r="T1259" s="9"/>
    </row>
    <row r="1260" spans="20:20">
      <c r="T1260" s="9"/>
    </row>
    <row r="1261" spans="20:20">
      <c r="T1261" s="9"/>
    </row>
    <row r="1262" spans="20:20">
      <c r="T1262" s="9"/>
    </row>
    <row r="1263" spans="20:20">
      <c r="T1263" s="9"/>
    </row>
    <row r="1264" spans="20:20">
      <c r="T1264" s="9"/>
    </row>
    <row r="1265" spans="20:20">
      <c r="T1265" s="9"/>
    </row>
    <row r="1266" spans="20:20">
      <c r="T1266" s="9"/>
    </row>
    <row r="1267" spans="20:20">
      <c r="T1267" s="9"/>
    </row>
    <row r="1268" spans="20:20">
      <c r="T1268" s="9"/>
    </row>
    <row r="1269" spans="20:20">
      <c r="T1269" s="9"/>
    </row>
    <row r="1270" spans="20:20">
      <c r="T1270" s="9"/>
    </row>
    <row r="1271" spans="20:20">
      <c r="T1271" s="9"/>
    </row>
    <row r="1272" spans="20:20">
      <c r="T1272" s="9"/>
    </row>
    <row r="1273" spans="20:20">
      <c r="T1273" s="9"/>
    </row>
    <row r="1274" spans="20:20">
      <c r="T1274" s="9"/>
    </row>
    <row r="1275" spans="20:20">
      <c r="T1275" s="9"/>
    </row>
    <row r="1276" spans="20:20">
      <c r="T1276" s="9"/>
    </row>
    <row r="1277" spans="20:20">
      <c r="T1277" s="9"/>
    </row>
    <row r="1278" spans="20:20">
      <c r="T1278" s="9"/>
    </row>
    <row r="1279" spans="20:20">
      <c r="T1279" s="9"/>
    </row>
    <row r="1280" spans="20:20">
      <c r="T1280" s="9"/>
    </row>
    <row r="1281" spans="20:20">
      <c r="T1281" s="9"/>
    </row>
    <row r="1282" spans="20:20">
      <c r="T1282" s="9"/>
    </row>
    <row r="1283" spans="20:20">
      <c r="T1283" s="9"/>
    </row>
    <row r="1284" spans="20:20">
      <c r="T1284" s="9"/>
    </row>
    <row r="1285" spans="20:20">
      <c r="T1285" s="9"/>
    </row>
    <row r="1286" spans="20:20">
      <c r="T1286" s="9"/>
    </row>
    <row r="1287" spans="20:20">
      <c r="T1287" s="9"/>
    </row>
    <row r="1288" spans="20:20">
      <c r="T1288" s="9"/>
    </row>
    <row r="1289" spans="20:20">
      <c r="T1289" s="9"/>
    </row>
    <row r="1290" spans="20:20">
      <c r="T1290" s="9"/>
    </row>
    <row r="1291" spans="20:20">
      <c r="T1291" s="9"/>
    </row>
    <row r="1292" spans="20:20">
      <c r="T1292" s="9"/>
    </row>
    <row r="1293" spans="20:20">
      <c r="T1293" s="9"/>
    </row>
    <row r="1294" spans="20:20">
      <c r="T1294" s="9"/>
    </row>
    <row r="1295" spans="20:20">
      <c r="T1295" s="9"/>
    </row>
    <row r="1296" spans="20:20">
      <c r="T1296" s="9"/>
    </row>
    <row r="1297" spans="20:20">
      <c r="T1297" s="9"/>
    </row>
    <row r="1298" spans="20:20">
      <c r="T1298" s="9"/>
    </row>
    <row r="1299" spans="20:20">
      <c r="T1299" s="9"/>
    </row>
    <row r="1300" spans="20:20">
      <c r="T1300" s="9"/>
    </row>
    <row r="1301" spans="20:20">
      <c r="T1301" s="9"/>
    </row>
    <row r="1302" spans="20:20">
      <c r="T1302" s="9"/>
    </row>
    <row r="1303" spans="20:20">
      <c r="T1303" s="9"/>
    </row>
    <row r="1304" spans="20:20">
      <c r="T1304" s="9"/>
    </row>
    <row r="1305" spans="20:20">
      <c r="T1305" s="9"/>
    </row>
    <row r="1306" spans="20:20">
      <c r="T1306" s="9"/>
    </row>
    <row r="1307" spans="20:20">
      <c r="T1307" s="9"/>
    </row>
    <row r="1308" spans="20:20">
      <c r="T1308" s="9"/>
    </row>
    <row r="1309" spans="20:20">
      <c r="T1309" s="9"/>
    </row>
    <row r="1310" spans="20:20">
      <c r="T1310" s="9"/>
    </row>
    <row r="1311" spans="20:20">
      <c r="T1311" s="9"/>
    </row>
    <row r="1312" spans="20:20">
      <c r="T1312" s="9"/>
    </row>
    <row r="1313" spans="20:20">
      <c r="T1313" s="9"/>
    </row>
    <row r="1314" spans="20:20">
      <c r="T1314" s="9"/>
    </row>
    <row r="1315" spans="20:20">
      <c r="T1315" s="9"/>
    </row>
    <row r="1316" spans="20:20">
      <c r="T1316" s="9"/>
    </row>
    <row r="1317" spans="20:20">
      <c r="T1317" s="9"/>
    </row>
    <row r="1318" spans="20:20">
      <c r="T1318" s="9"/>
    </row>
    <row r="1319" spans="20:20">
      <c r="T1319" s="9"/>
    </row>
    <row r="1320" spans="20:20">
      <c r="T1320" s="9"/>
    </row>
    <row r="1321" spans="20:20">
      <c r="T1321" s="9"/>
    </row>
    <row r="1322" spans="20:20">
      <c r="T1322" s="9"/>
    </row>
    <row r="1323" spans="20:20">
      <c r="T1323" s="9"/>
    </row>
    <row r="1324" spans="20:20">
      <c r="T1324" s="9"/>
    </row>
    <row r="1325" spans="20:20">
      <c r="T1325" s="9"/>
    </row>
    <row r="1326" spans="20:20">
      <c r="T1326" s="9"/>
    </row>
    <row r="1327" spans="20:20">
      <c r="T1327" s="9"/>
    </row>
    <row r="1328" spans="20:20">
      <c r="T1328" s="9"/>
    </row>
    <row r="1329" spans="20:20">
      <c r="T1329" s="9"/>
    </row>
    <row r="1330" spans="20:20">
      <c r="T1330" s="9"/>
    </row>
    <row r="1331" spans="20:20">
      <c r="T1331" s="9"/>
    </row>
    <row r="1332" spans="20:20">
      <c r="T1332" s="9"/>
    </row>
    <row r="1333" spans="20:20">
      <c r="T1333" s="9"/>
    </row>
    <row r="1334" spans="20:20">
      <c r="T1334" s="9"/>
    </row>
    <row r="1335" spans="20:20">
      <c r="T1335" s="9"/>
    </row>
    <row r="1336" spans="20:20">
      <c r="T1336" s="9"/>
    </row>
    <row r="1337" spans="20:20">
      <c r="T1337" s="9"/>
    </row>
    <row r="1338" spans="20:20">
      <c r="T1338" s="9"/>
    </row>
    <row r="1339" spans="20:20">
      <c r="T1339" s="9"/>
    </row>
    <row r="1340" spans="20:20">
      <c r="T1340" s="9"/>
    </row>
    <row r="1341" spans="20:20">
      <c r="T1341" s="9"/>
    </row>
    <row r="1342" spans="20:20">
      <c r="T1342" s="9"/>
    </row>
    <row r="1343" spans="20:20">
      <c r="T1343" s="9"/>
    </row>
    <row r="1344" spans="20:20">
      <c r="T1344" s="9"/>
    </row>
    <row r="1345" spans="20:20">
      <c r="T1345" s="9"/>
    </row>
    <row r="1346" spans="20:20">
      <c r="T1346" s="9"/>
    </row>
    <row r="1347" spans="20:20">
      <c r="T1347" s="9"/>
    </row>
    <row r="1348" spans="20:20">
      <c r="T1348" s="9"/>
    </row>
    <row r="1349" spans="20:20">
      <c r="T1349" s="9"/>
    </row>
    <row r="1350" spans="20:20">
      <c r="T1350" s="9"/>
    </row>
    <row r="1351" spans="20:20">
      <c r="T1351" s="9"/>
    </row>
    <row r="1352" spans="20:20">
      <c r="T1352" s="9"/>
    </row>
    <row r="1353" spans="20:20">
      <c r="T1353" s="9"/>
    </row>
    <row r="1354" spans="20:20">
      <c r="T1354" s="9"/>
    </row>
    <row r="1355" spans="20:20">
      <c r="T1355" s="9"/>
    </row>
    <row r="1356" spans="20:20">
      <c r="T1356" s="9"/>
    </row>
    <row r="1357" spans="20:20">
      <c r="T1357" s="9"/>
    </row>
    <row r="1358" spans="20:20">
      <c r="T1358" s="9"/>
    </row>
    <row r="1359" spans="20:20">
      <c r="T1359" s="9"/>
    </row>
    <row r="1360" spans="20:20">
      <c r="T1360" s="9"/>
    </row>
    <row r="1361" spans="20:20">
      <c r="T1361" s="9"/>
    </row>
    <row r="1362" spans="20:20">
      <c r="T1362" s="9"/>
    </row>
    <row r="1363" spans="20:20">
      <c r="T1363" s="9"/>
    </row>
    <row r="1364" spans="20:20">
      <c r="T1364" s="9"/>
    </row>
    <row r="1365" spans="20:20">
      <c r="T1365" s="9"/>
    </row>
    <row r="1366" spans="20:20">
      <c r="T1366" s="9"/>
    </row>
    <row r="1367" spans="20:20">
      <c r="T1367" s="9"/>
    </row>
    <row r="1368" spans="20:20">
      <c r="T1368" s="9"/>
    </row>
    <row r="1369" spans="20:20">
      <c r="T1369" s="9"/>
    </row>
    <row r="1370" spans="20:20">
      <c r="T1370" s="9"/>
    </row>
    <row r="1371" spans="20:20">
      <c r="T1371" s="9"/>
    </row>
    <row r="1372" spans="20:20">
      <c r="T1372" s="9"/>
    </row>
    <row r="1373" spans="20:20">
      <c r="T1373" s="9"/>
    </row>
    <row r="1374" spans="20:20">
      <c r="T1374" s="9"/>
    </row>
    <row r="1375" spans="20:20">
      <c r="T1375" s="9"/>
    </row>
    <row r="1376" spans="20:20">
      <c r="T1376" s="9"/>
    </row>
    <row r="1377" spans="20:20">
      <c r="T1377" s="9"/>
    </row>
    <row r="1378" spans="20:20">
      <c r="T1378" s="9"/>
    </row>
    <row r="1379" spans="20:20">
      <c r="T1379" s="9"/>
    </row>
    <row r="1380" spans="20:20">
      <c r="T1380" s="9"/>
    </row>
    <row r="1381" spans="20:20">
      <c r="T1381" s="9"/>
    </row>
    <row r="1382" spans="20:20">
      <c r="T1382" s="9"/>
    </row>
    <row r="1383" spans="20:20">
      <c r="T1383" s="9"/>
    </row>
    <row r="1384" spans="20:20">
      <c r="T1384" s="9"/>
    </row>
    <row r="1385" spans="20:20">
      <c r="T1385" s="9"/>
    </row>
    <row r="1386" spans="20:20">
      <c r="T1386" s="9"/>
    </row>
    <row r="1387" spans="20:20">
      <c r="T1387" s="9"/>
    </row>
    <row r="1388" spans="20:20">
      <c r="T1388" s="9"/>
    </row>
    <row r="1389" spans="20:20">
      <c r="T1389" s="9"/>
    </row>
    <row r="1390" spans="20:20">
      <c r="T1390" s="9"/>
    </row>
    <row r="1391" spans="20:20">
      <c r="T1391" s="9"/>
    </row>
    <row r="1392" spans="20:20">
      <c r="T1392" s="9"/>
    </row>
    <row r="1393" spans="20:20">
      <c r="T1393" s="9"/>
    </row>
    <row r="1394" spans="20:20">
      <c r="T1394" s="9"/>
    </row>
    <row r="1395" spans="20:20">
      <c r="T1395" s="9"/>
    </row>
    <row r="1396" spans="20:20">
      <c r="T1396" s="9"/>
    </row>
    <row r="1397" spans="20:20">
      <c r="T1397" s="9"/>
    </row>
    <row r="1398" spans="20:20">
      <c r="T1398" s="9"/>
    </row>
    <row r="1399" spans="20:20">
      <c r="T1399" s="9"/>
    </row>
    <row r="1400" spans="20:20">
      <c r="T1400" s="9"/>
    </row>
    <row r="1401" spans="20:20">
      <c r="T1401" s="9"/>
    </row>
    <row r="1402" spans="20:20">
      <c r="T1402" s="9"/>
    </row>
    <row r="1403" spans="20:20">
      <c r="T1403" s="9"/>
    </row>
    <row r="1404" spans="20:20">
      <c r="T1404" s="9"/>
    </row>
    <row r="1405" spans="20:20">
      <c r="T1405" s="9"/>
    </row>
    <row r="1406" spans="20:20">
      <c r="T1406" s="9"/>
    </row>
    <row r="1407" spans="20:20">
      <c r="T1407" s="9"/>
    </row>
    <row r="1408" spans="20:20">
      <c r="T1408" s="9"/>
    </row>
    <row r="1409" spans="20:20">
      <c r="T1409" s="9"/>
    </row>
    <row r="1410" spans="20:20">
      <c r="T1410" s="9"/>
    </row>
    <row r="1411" spans="20:20">
      <c r="T1411" s="9"/>
    </row>
    <row r="1412" spans="20:20">
      <c r="T1412" s="9"/>
    </row>
    <row r="1413" spans="20:20">
      <c r="T1413" s="9"/>
    </row>
    <row r="1414" spans="20:20">
      <c r="T1414" s="9"/>
    </row>
    <row r="1415" spans="20:20">
      <c r="T1415" s="9"/>
    </row>
    <row r="1416" spans="20:20">
      <c r="T1416" s="9"/>
    </row>
    <row r="1417" spans="20:20">
      <c r="T1417" s="9"/>
    </row>
    <row r="1418" spans="20:20">
      <c r="T1418" s="9"/>
    </row>
    <row r="1419" spans="20:20">
      <c r="T1419" s="9"/>
    </row>
    <row r="1420" spans="20:20">
      <c r="T1420" s="9"/>
    </row>
    <row r="1421" spans="20:20">
      <c r="T1421" s="9"/>
    </row>
    <row r="1422" spans="20:20">
      <c r="T1422" s="9"/>
    </row>
    <row r="1423" spans="20:20">
      <c r="T1423" s="9"/>
    </row>
    <row r="1424" spans="20:20">
      <c r="T1424" s="9"/>
    </row>
    <row r="1425" spans="20:20">
      <c r="T1425" s="9"/>
    </row>
    <row r="1426" spans="20:20">
      <c r="T1426" s="9"/>
    </row>
    <row r="1427" spans="20:20">
      <c r="T1427" s="9"/>
    </row>
    <row r="1428" spans="20:20">
      <c r="T1428" s="9"/>
    </row>
    <row r="1429" spans="20:20">
      <c r="T1429" s="9"/>
    </row>
    <row r="1430" spans="20:20">
      <c r="T1430" s="9"/>
    </row>
    <row r="1431" spans="20:20">
      <c r="T1431" s="9"/>
    </row>
    <row r="1432" spans="20:20">
      <c r="T1432" s="9"/>
    </row>
    <row r="1433" spans="20:20">
      <c r="T1433" s="9"/>
    </row>
    <row r="1434" spans="20:20">
      <c r="T1434" s="9"/>
    </row>
    <row r="1435" spans="20:20">
      <c r="T1435" s="9"/>
    </row>
    <row r="1436" spans="20:20">
      <c r="T1436" s="9"/>
    </row>
    <row r="1437" spans="20:20">
      <c r="T1437" s="9"/>
    </row>
    <row r="1438" spans="20:20">
      <c r="T1438" s="9"/>
    </row>
    <row r="1439" spans="20:20">
      <c r="T1439" s="9"/>
    </row>
    <row r="1440" spans="20:20">
      <c r="T1440" s="9"/>
    </row>
    <row r="1441" spans="20:20">
      <c r="T1441" s="9"/>
    </row>
    <row r="1442" spans="20:20">
      <c r="T1442" s="9"/>
    </row>
    <row r="1443" spans="20:20">
      <c r="T1443" s="9"/>
    </row>
    <row r="1444" spans="20:20">
      <c r="T1444" s="9"/>
    </row>
    <row r="1445" spans="20:20">
      <c r="T1445" s="9"/>
    </row>
    <row r="1446" spans="20:20">
      <c r="T1446" s="9"/>
    </row>
    <row r="1447" spans="20:20">
      <c r="T1447" s="9"/>
    </row>
    <row r="1448" spans="20:20">
      <c r="T1448" s="9"/>
    </row>
    <row r="1449" spans="20:20">
      <c r="T1449" s="9"/>
    </row>
    <row r="1450" spans="20:20">
      <c r="T1450" s="9"/>
    </row>
    <row r="1451" spans="20:20">
      <c r="T1451" s="9"/>
    </row>
    <row r="1452" spans="20:20">
      <c r="T1452" s="9"/>
    </row>
    <row r="1453" spans="20:20">
      <c r="T1453" s="9"/>
    </row>
    <row r="1454" spans="20:20">
      <c r="T1454" s="9"/>
    </row>
    <row r="1455" spans="20:20">
      <c r="T1455" s="9"/>
    </row>
    <row r="1456" spans="20:20">
      <c r="T1456" s="9"/>
    </row>
    <row r="1457" spans="20:20">
      <c r="T1457" s="9"/>
    </row>
    <row r="1458" spans="20:20">
      <c r="T1458" s="9"/>
    </row>
    <row r="1459" spans="20:20">
      <c r="T1459" s="9"/>
    </row>
    <row r="1460" spans="20:20">
      <c r="T1460" s="9"/>
    </row>
    <row r="1461" spans="20:20">
      <c r="T1461" s="9"/>
    </row>
    <row r="1462" spans="20:20">
      <c r="T1462" s="9"/>
    </row>
    <row r="1463" spans="20:20">
      <c r="T1463" s="9"/>
    </row>
    <row r="1464" spans="20:20">
      <c r="T1464" s="9"/>
    </row>
    <row r="1465" spans="20:20">
      <c r="T1465" s="9"/>
    </row>
    <row r="1466" spans="20:20">
      <c r="T1466" s="9"/>
    </row>
    <row r="1467" spans="20:20">
      <c r="T1467" s="9"/>
    </row>
    <row r="1468" spans="20:20">
      <c r="T1468" s="9"/>
    </row>
    <row r="1469" spans="20:20">
      <c r="T1469" s="9"/>
    </row>
    <row r="1470" spans="20:20">
      <c r="T1470" s="9"/>
    </row>
    <row r="1471" spans="20:20">
      <c r="T1471" s="9"/>
    </row>
    <row r="1472" spans="20:20">
      <c r="T1472" s="9"/>
    </row>
    <row r="1473" spans="20:20">
      <c r="T1473" s="9"/>
    </row>
    <row r="1474" spans="20:20">
      <c r="T1474" s="9"/>
    </row>
    <row r="1475" spans="20:20">
      <c r="T1475" s="9"/>
    </row>
    <row r="1476" spans="20:20">
      <c r="T1476" s="9"/>
    </row>
    <row r="1477" spans="20:20">
      <c r="T1477" s="9"/>
    </row>
    <row r="1478" spans="20:20">
      <c r="T1478" s="9"/>
    </row>
    <row r="1479" spans="20:20">
      <c r="T1479" s="9"/>
    </row>
    <row r="1480" spans="20:20">
      <c r="T1480" s="9"/>
    </row>
    <row r="1481" spans="20:20">
      <c r="T1481" s="9"/>
    </row>
    <row r="1482" spans="20:20">
      <c r="T1482" s="9"/>
    </row>
    <row r="1483" spans="20:20">
      <c r="T1483" s="9"/>
    </row>
    <row r="1484" spans="20:20">
      <c r="T1484" s="9"/>
    </row>
    <row r="1485" spans="20:20">
      <c r="T1485" s="9"/>
    </row>
    <row r="1486" spans="20:20">
      <c r="T1486" s="9"/>
    </row>
    <row r="1487" spans="20:20">
      <c r="T1487" s="9"/>
    </row>
    <row r="1488" spans="20:20">
      <c r="T1488" s="9"/>
    </row>
    <row r="1489" spans="20:20">
      <c r="T1489" s="9"/>
    </row>
    <row r="1490" spans="20:20">
      <c r="T1490" s="9"/>
    </row>
    <row r="1491" spans="20:20">
      <c r="T1491" s="9"/>
    </row>
    <row r="1492" spans="20:20">
      <c r="T1492" s="9"/>
    </row>
    <row r="1493" spans="20:20">
      <c r="T1493" s="9"/>
    </row>
    <row r="1494" spans="20:20">
      <c r="T1494" s="9"/>
    </row>
    <row r="1495" spans="20:20">
      <c r="T1495" s="9"/>
    </row>
    <row r="1496" spans="20:20">
      <c r="T1496" s="9"/>
    </row>
    <row r="1497" spans="20:20">
      <c r="T1497" s="9"/>
    </row>
    <row r="1498" spans="20:20">
      <c r="T1498" s="9"/>
    </row>
    <row r="1499" spans="20:20">
      <c r="T1499" s="9"/>
    </row>
    <row r="1500" spans="20:20">
      <c r="T1500" s="9"/>
    </row>
    <row r="1501" spans="20:20">
      <c r="T1501" s="9"/>
    </row>
    <row r="1502" spans="20:20">
      <c r="T1502" s="9"/>
    </row>
    <row r="1503" spans="20:20">
      <c r="T1503" s="9"/>
    </row>
    <row r="1504" spans="20:20">
      <c r="T1504" s="9"/>
    </row>
    <row r="1505" spans="20:20">
      <c r="T1505" s="9"/>
    </row>
    <row r="1506" spans="20:20">
      <c r="T1506" s="9"/>
    </row>
    <row r="1507" spans="20:20">
      <c r="T1507" s="9"/>
    </row>
    <row r="1508" spans="20:20">
      <c r="T1508" s="9"/>
    </row>
    <row r="1509" spans="20:20">
      <c r="T1509" s="9"/>
    </row>
    <row r="1510" spans="20:20">
      <c r="T1510" s="9"/>
    </row>
    <row r="1511" spans="20:20">
      <c r="T1511" s="9"/>
    </row>
    <row r="1512" spans="20:20">
      <c r="T1512" s="9"/>
    </row>
    <row r="1513" spans="20:20">
      <c r="T1513" s="9"/>
    </row>
    <row r="1514" spans="20:20">
      <c r="T1514" s="9"/>
    </row>
    <row r="1515" spans="20:20">
      <c r="T1515" s="9"/>
    </row>
    <row r="1516" spans="20:20">
      <c r="T1516" s="9"/>
    </row>
    <row r="1517" spans="20:20">
      <c r="T1517" s="9"/>
    </row>
    <row r="1518" spans="20:20">
      <c r="T1518" s="9"/>
    </row>
    <row r="1519" spans="20:20">
      <c r="T1519" s="9"/>
    </row>
    <row r="1520" spans="20:20">
      <c r="T1520" s="9"/>
    </row>
    <row r="1521" spans="20:20">
      <c r="T1521" s="9"/>
    </row>
    <row r="1522" spans="20:20">
      <c r="T1522" s="9"/>
    </row>
    <row r="1523" spans="20:20">
      <c r="T1523" s="9"/>
    </row>
    <row r="1524" spans="20:20">
      <c r="T1524" s="9"/>
    </row>
    <row r="1525" spans="20:20">
      <c r="T1525" s="9"/>
    </row>
    <row r="1526" spans="20:20">
      <c r="T1526" s="9"/>
    </row>
    <row r="1527" spans="20:20">
      <c r="T1527" s="9"/>
    </row>
    <row r="1528" spans="20:20">
      <c r="T1528" s="9"/>
    </row>
    <row r="1529" spans="20:20">
      <c r="T1529" s="9"/>
    </row>
    <row r="1530" spans="20:20">
      <c r="T1530" s="9"/>
    </row>
    <row r="1531" spans="20:20">
      <c r="T1531" s="9"/>
    </row>
    <row r="1532" spans="20:20">
      <c r="T1532" s="9"/>
    </row>
    <row r="1533" spans="20:20">
      <c r="T1533" s="9"/>
    </row>
    <row r="1534" spans="20:20">
      <c r="T1534" s="9"/>
    </row>
    <row r="1535" spans="20:20">
      <c r="T1535" s="9"/>
    </row>
    <row r="1536" spans="20:20">
      <c r="T1536" s="9"/>
    </row>
    <row r="1537" spans="20:20">
      <c r="T1537" s="9"/>
    </row>
    <row r="1538" spans="20:20">
      <c r="T1538" s="9"/>
    </row>
    <row r="1539" spans="20:20">
      <c r="T1539" s="9"/>
    </row>
    <row r="1540" spans="20:20">
      <c r="T1540" s="9"/>
    </row>
    <row r="1541" spans="20:20">
      <c r="T1541" s="9"/>
    </row>
    <row r="1542" spans="20:20">
      <c r="T1542" s="9"/>
    </row>
    <row r="1543" spans="20:20">
      <c r="T1543" s="9"/>
    </row>
    <row r="1544" spans="20:20">
      <c r="T1544" s="9"/>
    </row>
    <row r="1545" spans="20:20">
      <c r="T1545" s="9"/>
    </row>
    <row r="1546" spans="20:20">
      <c r="T1546" s="9"/>
    </row>
    <row r="1547" spans="20:20">
      <c r="T1547" s="9"/>
    </row>
    <row r="1548" spans="20:20">
      <c r="T1548" s="9"/>
    </row>
    <row r="1549" spans="20:20">
      <c r="T1549" s="9"/>
    </row>
    <row r="1550" spans="20:20">
      <c r="T1550" s="9"/>
    </row>
    <row r="1551" spans="20:20">
      <c r="T1551" s="9"/>
    </row>
    <row r="1552" spans="20:20">
      <c r="T1552" s="9"/>
    </row>
    <row r="1553" spans="20:20">
      <c r="T1553" s="9"/>
    </row>
    <row r="1554" spans="20:20">
      <c r="T1554" s="9"/>
    </row>
    <row r="1555" spans="20:20">
      <c r="T1555" s="9"/>
    </row>
    <row r="1556" spans="20:20">
      <c r="T1556" s="9"/>
    </row>
    <row r="1557" spans="20:20">
      <c r="T1557" s="9"/>
    </row>
    <row r="1558" spans="20:20">
      <c r="T1558" s="9"/>
    </row>
    <row r="1559" spans="20:20">
      <c r="T1559" s="9"/>
    </row>
    <row r="1560" spans="20:20">
      <c r="T1560" s="9"/>
    </row>
    <row r="1561" spans="20:20">
      <c r="T1561" s="9"/>
    </row>
    <row r="1562" spans="20:20">
      <c r="T1562" s="9"/>
    </row>
    <row r="1563" spans="20:20">
      <c r="T1563" s="9"/>
    </row>
    <row r="1564" spans="20:20">
      <c r="T1564" s="9"/>
    </row>
    <row r="1565" spans="20:20">
      <c r="T1565" s="9"/>
    </row>
    <row r="1566" spans="20:20">
      <c r="T1566" s="9"/>
    </row>
    <row r="1567" spans="20:20">
      <c r="T1567" s="9"/>
    </row>
    <row r="1568" spans="20:20">
      <c r="T1568" s="9"/>
    </row>
    <row r="1569" spans="20:20">
      <c r="T1569" s="9"/>
    </row>
    <row r="1570" spans="20:20">
      <c r="T1570" s="9"/>
    </row>
    <row r="1571" spans="20:20">
      <c r="T1571" s="9"/>
    </row>
    <row r="1572" spans="20:20">
      <c r="T1572" s="9"/>
    </row>
    <row r="1573" spans="20:20">
      <c r="T1573" s="9"/>
    </row>
    <row r="1574" spans="20:20">
      <c r="T1574" s="9"/>
    </row>
    <row r="1575" spans="20:20">
      <c r="T1575" s="9"/>
    </row>
    <row r="1576" spans="20:20">
      <c r="T1576" s="9"/>
    </row>
    <row r="1577" spans="20:20">
      <c r="T1577" s="9"/>
    </row>
    <row r="1578" spans="20:20">
      <c r="T1578" s="9"/>
    </row>
    <row r="1579" spans="20:20">
      <c r="T1579" s="9"/>
    </row>
    <row r="1580" spans="20:20">
      <c r="T1580" s="9"/>
    </row>
    <row r="1581" spans="20:20">
      <c r="T1581" s="9"/>
    </row>
    <row r="1582" spans="20:20">
      <c r="T1582" s="9"/>
    </row>
    <row r="1583" spans="20:20">
      <c r="T1583" s="9"/>
    </row>
    <row r="1612" spans="20:20">
      <c r="T1612" s="10"/>
    </row>
  </sheetData>
  <sheetProtection sheet="1" objects="1" scenarios="1"/>
  <phoneticPr fontId="0" type="noConversion"/>
  <printOptions gridLinesSet="0"/>
  <pageMargins left="1.6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F37"/>
  <sheetViews>
    <sheetView workbookViewId="0">
      <selection activeCell="B6" sqref="B6"/>
    </sheetView>
  </sheetViews>
  <sheetFormatPr defaultRowHeight="12.6"/>
  <cols>
    <col min="1" max="1" width="13.33203125" customWidth="1"/>
    <col min="5" max="5" width="11" bestFit="1" customWidth="1"/>
  </cols>
  <sheetData>
    <row r="1" spans="1:6" ht="13.2">
      <c r="A1" s="22" t="s">
        <v>43</v>
      </c>
      <c r="B1" s="14"/>
      <c r="C1" s="14"/>
      <c r="D1" s="14"/>
      <c r="E1" s="14"/>
      <c r="F1" s="14"/>
    </row>
    <row r="2" spans="1:6" ht="13.2">
      <c r="A2" s="22" t="s">
        <v>32</v>
      </c>
      <c r="B2" s="14"/>
      <c r="C2" s="14"/>
      <c r="D2" s="14"/>
      <c r="E2" s="14"/>
      <c r="F2" s="14"/>
    </row>
    <row r="3" spans="1:6" ht="13.2">
      <c r="A3" s="22" t="s">
        <v>89</v>
      </c>
      <c r="B3" s="14"/>
      <c r="C3" s="14"/>
      <c r="D3" s="14"/>
      <c r="E3" s="14"/>
      <c r="F3" s="14"/>
    </row>
    <row r="4" spans="1:6" ht="13.2">
      <c r="A4" s="22" t="s">
        <v>33</v>
      </c>
      <c r="B4" s="14"/>
      <c r="C4" s="14"/>
      <c r="D4" s="14"/>
      <c r="E4" s="14"/>
      <c r="F4" s="14"/>
    </row>
    <row r="5" spans="1:6" ht="13.2">
      <c r="A5" s="14"/>
      <c r="B5" s="14"/>
      <c r="C5" s="14"/>
      <c r="D5" s="14"/>
      <c r="E5" s="14"/>
      <c r="F5" s="14"/>
    </row>
    <row r="6" spans="1:6" ht="13.2">
      <c r="A6" s="23" t="s">
        <v>25</v>
      </c>
      <c r="B6" s="62">
        <f>'Residue Calculator'!D19</f>
        <v>331.06864410364165</v>
      </c>
      <c r="C6" s="22" t="s">
        <v>30</v>
      </c>
      <c r="D6" s="14"/>
      <c r="E6" s="14"/>
      <c r="F6" s="14"/>
    </row>
    <row r="7" spans="1:6" ht="13.2">
      <c r="A7" s="15"/>
      <c r="B7" s="15">
        <v>1</v>
      </c>
      <c r="C7" s="17">
        <v>2</v>
      </c>
      <c r="D7" s="41">
        <v>3</v>
      </c>
      <c r="E7" s="43"/>
      <c r="F7" s="19"/>
    </row>
    <row r="8" spans="1:6" ht="13.2">
      <c r="A8" s="23" t="s">
        <v>17</v>
      </c>
      <c r="B8" s="16" t="str">
        <f>'Residue Calculator'!B11</f>
        <v>Benzene</v>
      </c>
      <c r="C8" s="16" t="str">
        <f>'Residue Calculator'!C11</f>
        <v>Ethanol</v>
      </c>
      <c r="D8" s="42" t="str">
        <f>'Residue Calculator'!D11</f>
        <v>Methanol</v>
      </c>
      <c r="E8" s="44"/>
      <c r="F8" s="20"/>
    </row>
    <row r="9" spans="1:6" ht="13.2">
      <c r="A9" s="23" t="s">
        <v>14</v>
      </c>
      <c r="B9" s="60">
        <v>0.39472252560543725</v>
      </c>
      <c r="C9" s="60">
        <v>4.8093994839913607E-3</v>
      </c>
      <c r="D9" s="61">
        <v>0.60046807491057141</v>
      </c>
      <c r="E9" s="45"/>
      <c r="F9" s="39"/>
    </row>
    <row r="10" spans="1:6" ht="13.2">
      <c r="A10" s="18" t="s">
        <v>18</v>
      </c>
      <c r="B10" s="23">
        <f>EXP(B31+B35)</f>
        <v>2.0852415743806358</v>
      </c>
      <c r="C10" s="23">
        <f>EXP(C31+C35)</f>
        <v>1.1712090071241912</v>
      </c>
      <c r="D10" s="67">
        <f>EXP(D31+D35)</f>
        <v>1.3128477614427594</v>
      </c>
      <c r="E10" s="43"/>
      <c r="F10" s="19"/>
    </row>
    <row r="11" spans="1:6" ht="13.2">
      <c r="A11" s="23" t="s">
        <v>52</v>
      </c>
      <c r="B11" s="23">
        <f>B10*B9</f>
        <v>0.82309182073698284</v>
      </c>
      <c r="C11" s="23">
        <f>C10*C9</f>
        <v>5.6328119945091189E-3</v>
      </c>
      <c r="D11" s="67">
        <f>D10*D9</f>
        <v>0.78832316796418689</v>
      </c>
      <c r="E11" s="43"/>
      <c r="F11" s="19"/>
    </row>
    <row r="12" spans="1:6" ht="13.2">
      <c r="A12" s="14"/>
      <c r="B12" s="14"/>
      <c r="C12" s="14"/>
      <c r="D12" s="14"/>
      <c r="E12" s="14"/>
      <c r="F12" s="14"/>
    </row>
    <row r="13" spans="1:6" ht="13.2">
      <c r="A13" s="23" t="s">
        <v>16</v>
      </c>
      <c r="B13" s="33">
        <v>3.1878000000000002</v>
      </c>
      <c r="C13" s="33">
        <v>2.1055000000000001</v>
      </c>
      <c r="D13" s="46">
        <v>1.4311</v>
      </c>
      <c r="E13" s="51"/>
      <c r="F13" s="48"/>
    </row>
    <row r="14" spans="1:6" ht="13.2">
      <c r="A14" s="23" t="s">
        <v>15</v>
      </c>
      <c r="B14" s="34">
        <v>2.4</v>
      </c>
      <c r="C14" s="34">
        <v>1.972</v>
      </c>
      <c r="D14" s="47">
        <v>1.4319999999999999</v>
      </c>
      <c r="E14" s="52"/>
      <c r="F14" s="49"/>
    </row>
    <row r="15" spans="1:6" ht="13.2">
      <c r="A15" s="18" t="s">
        <v>19</v>
      </c>
      <c r="B15" s="68">
        <f>B13*B9/$B17</f>
        <v>0.59137350582338921</v>
      </c>
      <c r="C15" s="68">
        <f>C13*C9/$B17</f>
        <v>4.7591016904383878E-3</v>
      </c>
      <c r="D15" s="70">
        <f>D13*D9/$B17</f>
        <v>0.40386739248617226</v>
      </c>
      <c r="E15" s="53"/>
      <c r="F15" s="50"/>
    </row>
    <row r="16" spans="1:6" ht="13.2">
      <c r="A16" s="18" t="s">
        <v>15</v>
      </c>
      <c r="B16" s="68">
        <f>B14*B9/$D17</f>
        <v>0.52146202919085494</v>
      </c>
      <c r="C16" s="68">
        <f>C14*C9/$D17</f>
        <v>5.2205625148137409E-3</v>
      </c>
      <c r="D16" s="70">
        <f>D14*D9/$D17</f>
        <v>0.47331740829433133</v>
      </c>
      <c r="E16" s="53"/>
      <c r="F16" s="50"/>
    </row>
    <row r="17" spans="1:6" ht="15.6">
      <c r="A17" s="21" t="s">
        <v>53</v>
      </c>
      <c r="B17" s="69">
        <f t="array" ref="B17">SUM(B9:F9*$B$13:$F$13)</f>
        <v>2.1277525197430758</v>
      </c>
      <c r="C17" s="21" t="s">
        <v>60</v>
      </c>
      <c r="D17" s="69">
        <f t="array" ref="D17">SUM($B$14:$F$14*B9:F9)</f>
        <v>1.8166884805074186</v>
      </c>
      <c r="E17" s="13"/>
      <c r="F17" s="19"/>
    </row>
    <row r="18" spans="1:6" ht="13.2">
      <c r="A18" s="21"/>
      <c r="B18" s="36"/>
      <c r="C18" s="21"/>
      <c r="D18" s="35"/>
      <c r="E18" s="13"/>
      <c r="F18" s="19"/>
    </row>
    <row r="19" spans="1:6" ht="13.2">
      <c r="A19" s="22" t="s">
        <v>29</v>
      </c>
      <c r="B19" s="14"/>
      <c r="C19" s="14"/>
      <c r="D19" s="14"/>
      <c r="E19" s="14"/>
      <c r="F19" s="14"/>
    </row>
    <row r="20" spans="1:6" ht="13.2">
      <c r="A20" s="23"/>
      <c r="B20" s="23">
        <v>1</v>
      </c>
      <c r="C20" s="23">
        <v>2</v>
      </c>
      <c r="D20" s="67">
        <v>3</v>
      </c>
      <c r="E20" s="43"/>
      <c r="F20" s="19"/>
    </row>
    <row r="21" spans="1:6" ht="13.2">
      <c r="A21" s="23">
        <v>1</v>
      </c>
      <c r="B21" s="15">
        <v>1</v>
      </c>
      <c r="C21" s="16">
        <v>337.73860000000002</v>
      </c>
      <c r="D21" s="42">
        <v>559.48609999999996</v>
      </c>
      <c r="E21" s="44"/>
      <c r="F21" s="20"/>
    </row>
    <row r="22" spans="1:6" ht="13.2">
      <c r="A22" s="23">
        <v>2</v>
      </c>
      <c r="B22" s="16">
        <v>-42.656700000000001</v>
      </c>
      <c r="C22" s="15">
        <v>1</v>
      </c>
      <c r="D22" s="42">
        <v>124.48480000000001</v>
      </c>
      <c r="E22" s="44"/>
      <c r="F22" s="20"/>
    </row>
    <row r="23" spans="1:6" ht="13.2">
      <c r="A23" s="23">
        <v>3</v>
      </c>
      <c r="B23" s="16">
        <v>-27.225300000000001</v>
      </c>
      <c r="C23" s="16">
        <v>-91.226399999999998</v>
      </c>
      <c r="D23" s="15">
        <v>1</v>
      </c>
      <c r="E23" s="44"/>
      <c r="F23" s="20"/>
    </row>
    <row r="24" spans="1:6" ht="13.2">
      <c r="A24" s="19"/>
      <c r="B24" s="19"/>
      <c r="C24" s="19"/>
      <c r="D24" s="19"/>
      <c r="E24" s="19"/>
      <c r="F24" s="19"/>
    </row>
    <row r="25" spans="1:6" ht="13.2">
      <c r="A25" s="21" t="s">
        <v>54</v>
      </c>
      <c r="B25" s="14"/>
      <c r="C25" s="14"/>
      <c r="D25" s="14"/>
      <c r="E25" s="14"/>
      <c r="F25" s="14"/>
    </row>
    <row r="26" spans="1:6" ht="13.2">
      <c r="A26" s="23"/>
      <c r="B26" s="23">
        <v>1</v>
      </c>
      <c r="C26" s="23">
        <v>2</v>
      </c>
      <c r="D26" s="67">
        <v>3</v>
      </c>
      <c r="E26" s="43"/>
      <c r="F26" s="19"/>
    </row>
    <row r="27" spans="1:6" ht="13.2">
      <c r="A27" s="23">
        <v>1</v>
      </c>
      <c r="B27" s="17">
        <v>1</v>
      </c>
      <c r="C27" s="17">
        <f>EXP(-C21/TK)</f>
        <v>0.36054202817401687</v>
      </c>
      <c r="D27" s="54">
        <f>EXP(-D21/TK)</f>
        <v>0.18453062025338587</v>
      </c>
      <c r="E27" s="55"/>
      <c r="F27" s="38"/>
    </row>
    <row r="28" spans="1:6" ht="13.2">
      <c r="A28" s="23">
        <v>2</v>
      </c>
      <c r="B28" s="17">
        <f>EXP(-B22/TK)</f>
        <v>1.1375143474953588</v>
      </c>
      <c r="C28" s="17">
        <v>1</v>
      </c>
      <c r="D28" s="54">
        <f>EXP(-D22/TK)</f>
        <v>0.68659613249713924</v>
      </c>
      <c r="E28" s="55"/>
      <c r="F28" s="38"/>
    </row>
    <row r="29" spans="1:6" ht="13.2">
      <c r="A29" s="23">
        <v>3</v>
      </c>
      <c r="B29" s="17">
        <f>EXP(-B23/TK)</f>
        <v>1.0857104957666861</v>
      </c>
      <c r="C29" s="17">
        <f>EXP(-C23/TK)</f>
        <v>1.3172566971449375</v>
      </c>
      <c r="D29" s="17">
        <v>1</v>
      </c>
      <c r="E29" s="55"/>
      <c r="F29" s="38"/>
    </row>
    <row r="30" spans="1:6" ht="13.2">
      <c r="A30" s="19"/>
      <c r="B30" s="38"/>
      <c r="C30" s="38"/>
      <c r="D30" s="38"/>
      <c r="E30" s="38"/>
      <c r="F30" s="38"/>
    </row>
    <row r="31" spans="1:6" ht="15.6">
      <c r="A31" s="23" t="s">
        <v>57</v>
      </c>
      <c r="B31" s="23">
        <f>LN(B15/B9)+(1-B15/B9)-5*B14*(LN(B15/B16)+(1-B15/B16))</f>
        <v>5.1464715726048937E-3</v>
      </c>
      <c r="C31" s="23">
        <f>LN(C15/C9)+(1-C15/C9)-5*C14*(LN(C15/C16)+(1-C15/C16))</f>
        <v>4.0896428813622682E-2</v>
      </c>
      <c r="D31" s="67">
        <f>LN(D15/D9)+(1-D15/D9)-5*D14*(LN(D15/D16)+(1-D15/D16))</f>
        <v>1.6346531945563417E-2</v>
      </c>
      <c r="E31" s="56"/>
      <c r="F31" s="19"/>
    </row>
    <row r="32" spans="1:6" ht="15.6">
      <c r="A32" s="18" t="s">
        <v>55</v>
      </c>
      <c r="B32" s="23">
        <f t="array" ref="B32:F32">MMULT(B16:D16,$B$27:$D$29)</f>
        <v>1.0412861719676934</v>
      </c>
      <c r="C32" s="23">
        <v>0.81671006608601582</v>
      </c>
      <c r="D32" s="67">
        <v>0.57312753801163963</v>
      </c>
      <c r="E32" s="57" t="e">
        <v>#N/A</v>
      </c>
      <c r="F32" s="58" t="e">
        <v>#N/A</v>
      </c>
    </row>
    <row r="33" spans="1:6" ht="15.6">
      <c r="A33" s="23" t="s">
        <v>56</v>
      </c>
      <c r="B33" s="23">
        <f>B16/B32</f>
        <v>0.50078647275749444</v>
      </c>
      <c r="C33" s="23">
        <f>C16/C32</f>
        <v>6.3921858338696069E-3</v>
      </c>
      <c r="D33" s="67">
        <f>D16/D32</f>
        <v>0.82585005413702306</v>
      </c>
      <c r="E33" s="57"/>
      <c r="F33" s="58"/>
    </row>
    <row r="34" spans="1:6" ht="15.6">
      <c r="A34" s="18" t="s">
        <v>58</v>
      </c>
      <c r="B34" s="23">
        <f t="array" ref="B34:F34">MMULT(B33:D33,TRANSPOSE(B27:D29))</f>
        <v>0.65548574712870022</v>
      </c>
      <c r="C34" s="23">
        <v>1.1430694368201464</v>
      </c>
      <c r="D34" s="67">
        <v>1.3779793333468722</v>
      </c>
      <c r="E34" s="59" t="e">
        <v>#N/A</v>
      </c>
      <c r="F34" s="58" t="e">
        <v>#N/A</v>
      </c>
    </row>
    <row r="35" spans="1:6" ht="15.6">
      <c r="A35" s="23" t="s">
        <v>59</v>
      </c>
      <c r="B35" s="23">
        <f>B14*(1-LN(B32)-B34)</f>
        <v>0.7297382399788549</v>
      </c>
      <c r="C35" s="23">
        <f>C14*(1-LN(C32)-C34)</f>
        <v>0.11714012589075859</v>
      </c>
      <c r="D35" s="67">
        <f>D14*(1-LN(D32)-D34)</f>
        <v>0.25585210954133075</v>
      </c>
      <c r="E35" s="43"/>
      <c r="F35" s="19"/>
    </row>
    <row r="36" spans="1:6" ht="13.2">
      <c r="A36" s="14"/>
      <c r="B36" s="14"/>
      <c r="C36" s="14"/>
      <c r="D36" s="14"/>
      <c r="E36" s="14"/>
      <c r="F36" s="14"/>
    </row>
    <row r="37" spans="1:6" ht="13.2">
      <c r="A37" s="22" t="s">
        <v>20</v>
      </c>
      <c r="B37" s="14"/>
      <c r="C37" s="14"/>
      <c r="D37" s="14"/>
      <c r="E37" s="14"/>
      <c r="F37" s="14"/>
    </row>
  </sheetData>
  <sheetProtection sheet="1" objects="1" scenarios="1"/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P77"/>
  <sheetViews>
    <sheetView workbookViewId="0"/>
  </sheetViews>
  <sheetFormatPr defaultRowHeight="12.6"/>
  <cols>
    <col min="2" max="2" width="9.109375" style="65" customWidth="1"/>
    <col min="4" max="4" width="9.109375" style="65" customWidth="1"/>
    <col min="6" max="6" width="9.109375" style="65" customWidth="1"/>
    <col min="8" max="8" width="9.109375" style="65" customWidth="1"/>
    <col min="10" max="10" width="9.109375" style="65" customWidth="1"/>
    <col min="12" max="12" width="9.109375" style="65" customWidth="1"/>
    <col min="14" max="14" width="9.109375" style="65" customWidth="1"/>
    <col min="16" max="16" width="9.109375" style="65" customWidth="1"/>
  </cols>
  <sheetData>
    <row r="1" spans="1:16">
      <c r="A1" t="s">
        <v>38</v>
      </c>
    </row>
    <row r="2" spans="1:16">
      <c r="A2" t="s">
        <v>64</v>
      </c>
    </row>
    <row r="3" spans="1:16">
      <c r="A3" t="s">
        <v>68</v>
      </c>
      <c r="C3" t="s">
        <v>69</v>
      </c>
      <c r="E3" t="s">
        <v>70</v>
      </c>
      <c r="G3" t="s">
        <v>71</v>
      </c>
      <c r="I3" t="s">
        <v>72</v>
      </c>
      <c r="K3" t="s">
        <v>73</v>
      </c>
      <c r="M3" t="s">
        <v>74</v>
      </c>
      <c r="O3" t="s">
        <v>75</v>
      </c>
    </row>
    <row r="4" spans="1:16">
      <c r="A4" t="s">
        <v>3</v>
      </c>
      <c r="B4" s="65" t="s">
        <v>4</v>
      </c>
      <c r="C4" t="s">
        <v>3</v>
      </c>
      <c r="D4" s="65" t="s">
        <v>4</v>
      </c>
      <c r="E4" t="s">
        <v>3</v>
      </c>
      <c r="F4" s="65" t="s">
        <v>4</v>
      </c>
      <c r="G4" t="s">
        <v>3</v>
      </c>
      <c r="H4" s="65" t="s">
        <v>4</v>
      </c>
      <c r="I4" t="s">
        <v>3</v>
      </c>
      <c r="J4" s="65" t="s">
        <v>4</v>
      </c>
      <c r="K4" t="s">
        <v>3</v>
      </c>
      <c r="L4" s="65" t="s">
        <v>4</v>
      </c>
      <c r="M4" t="s">
        <v>3</v>
      </c>
      <c r="N4" s="65" t="s">
        <v>4</v>
      </c>
      <c r="O4" t="s">
        <v>3</v>
      </c>
      <c r="P4" s="65" t="s">
        <v>4</v>
      </c>
    </row>
    <row r="5" spans="1:16">
      <c r="A5" s="10">
        <v>0.39448615075428778</v>
      </c>
      <c r="B5" s="65">
        <v>4.7142798910073131E-3</v>
      </c>
      <c r="C5" s="10">
        <v>0.39472252560543725</v>
      </c>
      <c r="D5" s="65">
        <v>4.8093994839913607E-3</v>
      </c>
    </row>
    <row r="6" spans="1:16">
      <c r="A6" s="10">
        <v>0.39459896305396142</v>
      </c>
      <c r="B6" s="65">
        <v>5.1017949502559813E-3</v>
      </c>
      <c r="C6" s="10">
        <v>0.39486686743807287</v>
      </c>
      <c r="D6" s="65">
        <v>5.2045816245440447E-3</v>
      </c>
    </row>
    <row r="7" spans="1:16">
      <c r="A7" s="10">
        <v>0.39471947363812582</v>
      </c>
      <c r="B7" s="65">
        <v>5.5209832196493683E-3</v>
      </c>
      <c r="C7" s="10">
        <v>0.39502321930828438</v>
      </c>
      <c r="D7" s="65">
        <v>5.6320305511488224E-3</v>
      </c>
    </row>
    <row r="8" spans="1:16">
      <c r="A8" s="10">
        <v>0.39484808927023785</v>
      </c>
      <c r="B8" s="65">
        <v>5.9744033396824173E-3</v>
      </c>
      <c r="C8" s="10">
        <v>0.39519258710638094</v>
      </c>
      <c r="D8" s="65">
        <v>6.0943454784280855E-3</v>
      </c>
    </row>
    <row r="9" spans="1:16">
      <c r="A9" s="10">
        <v>0.39498521795947716</v>
      </c>
      <c r="B9" s="65">
        <v>6.4648156679843992E-3</v>
      </c>
      <c r="C9" s="10">
        <v>0.39537606205202686</v>
      </c>
      <c r="D9" s="65">
        <v>6.5943288543570807E-3</v>
      </c>
    </row>
    <row r="10" spans="1:16">
      <c r="A10" s="10">
        <v>0.39513126450361036</v>
      </c>
      <c r="B10" s="65">
        <v>6.9951973717001167E-3</v>
      </c>
      <c r="C10" s="10">
        <v>0.39557482810876526</v>
      </c>
      <c r="D10" s="65">
        <v>7.1350011719144594E-3</v>
      </c>
    </row>
    <row r="11" spans="1:16">
      <c r="A11" s="10">
        <v>0.39528662502312661</v>
      </c>
      <c r="B11" s="65">
        <v>7.5687585190956121E-3</v>
      </c>
      <c r="C11" s="10">
        <v>0.39579017007088263</v>
      </c>
      <c r="D11" s="65">
        <v>7.7196166654232082E-3</v>
      </c>
    </row>
    <row r="12" spans="1:16">
      <c r="A12" s="10">
        <v>0.3954516803140356</v>
      </c>
      <c r="B12" s="65">
        <v>8.1889592159698193E-3</v>
      </c>
      <c r="C12" s="10">
        <v>0.39602348238787971</v>
      </c>
      <c r="D12" s="65">
        <v>8.3516799068499778E-3</v>
      </c>
    </row>
    <row r="13" spans="1:16">
      <c r="A13" s="10">
        <v>0.39562678782024846</v>
      </c>
      <c r="B13" s="65">
        <v>8.8595278312314681E-3</v>
      </c>
      <c r="C13" s="10">
        <v>0.39627627879875255</v>
      </c>
      <c r="D13" s="65">
        <v>9.0349633087883768E-3</v>
      </c>
    </row>
    <row r="14" spans="1:16">
      <c r="A14" s="10">
        <v>0.39581227199622748</v>
      </c>
      <c r="B14" s="65">
        <v>9.5844803541515096E-3</v>
      </c>
      <c r="C14" s="10">
        <v>0.39655020285604459</v>
      </c>
      <c r="D14" s="65">
        <v>9.7735255299558291E-3</v>
      </c>
    </row>
    <row r="15" spans="1:16">
      <c r="A15" s="10">
        <v>0.39600841279608545</v>
      </c>
      <c r="B15" s="65">
        <v>1.036814092326359E-2</v>
      </c>
      <c r="C15" s="10">
        <v>0.39684703942829752</v>
      </c>
      <c r="D15" s="65">
        <v>1.0571730765317033E-2</v>
      </c>
    </row>
    <row r="16" spans="1:16">
      <c r="A16" s="10">
        <v>0.3962154319860075</v>
      </c>
      <c r="B16" s="65">
        <v>1.1215163563607515E-2</v>
      </c>
      <c r="C16" s="10">
        <v>0.39716872727922375</v>
      </c>
      <c r="D16" s="65">
        <v>1.1434268885859194E-2</v>
      </c>
    </row>
    <row r="17" spans="1:4">
      <c r="A17" s="10">
        <v>0.39643347693216546</v>
      </c>
      <c r="B17" s="65">
        <v>1.2130555164963216E-2</v>
      </c>
      <c r="C17" s="10">
        <v>0.39751737283277239</v>
      </c>
      <c r="D17" s="65">
        <v>1.2366176371938247E-2</v>
      </c>
    </row>
    <row r="18" spans="1:4">
      <c r="A18" s="10">
        <v>0.39666260146554461</v>
      </c>
      <c r="B18" s="65">
        <v>1.311969972890553E-2</v>
      </c>
      <c r="C18" s="10">
        <v>0.39789526524540708</v>
      </c>
      <c r="D18" s="65">
        <v>1.3372857958231323E-2</v>
      </c>
    </row>
    <row r="19" spans="1:4">
      <c r="A19" s="10">
        <v>0.39690274336762216</v>
      </c>
      <c r="B19" s="65">
        <v>1.4188383906969059E-2</v>
      </c>
      <c r="C19" s="10">
        <v>0.3983048929205138</v>
      </c>
      <c r="D19" s="65">
        <v>1.4460108876778585E-2</v>
      </c>
    </row>
    <row r="20" spans="1:4">
      <c r="A20" s="10">
        <v>0.39715369795588812</v>
      </c>
      <c r="B20" s="65">
        <v>1.5342823846057427E-2</v>
      </c>
      <c r="C20" s="10">
        <v>0.39874896161509255</v>
      </c>
      <c r="D20" s="65">
        <v>1.5634137546333988E-2</v>
      </c>
    </row>
    <row r="21" spans="1:4">
      <c r="A21" s="10">
        <v>0.39741508717502261</v>
      </c>
      <c r="B21" s="65">
        <v>1.6589693350660899E-2</v>
      </c>
      <c r="C21" s="10">
        <v>0.39923041430594258</v>
      </c>
      <c r="D21" s="65">
        <v>1.6901588510050695E-2</v>
      </c>
    </row>
    <row r="22" spans="1:4">
      <c r="A22" s="10">
        <v>0.39768632351736666</v>
      </c>
      <c r="B22" s="65">
        <v>1.7936153364778301E-2</v>
      </c>
      <c r="C22" s="10">
        <v>0.39975245300165418</v>
      </c>
      <c r="D22" s="65">
        <v>1.8269565367978916E-2</v>
      </c>
    </row>
    <row r="23" spans="1:4">
      <c r="A23" s="10">
        <v>0.39796656800439673</v>
      </c>
      <c r="B23" s="65">
        <v>1.9389882770149369E-2</v>
      </c>
      <c r="C23" s="10">
        <v>0.4003185627080923</v>
      </c>
      <c r="D23" s="65">
        <v>1.9745653384291337E-2</v>
      </c>
    </row>
    <row r="24" spans="1:4">
      <c r="A24" s="10">
        <v>0.39825468135854963</v>
      </c>
      <c r="B24" s="65">
        <v>2.0959110492174297E-2</v>
      </c>
      <c r="C24" s="10">
        <v>0.40093253777895915</v>
      </c>
      <c r="D24" s="65">
        <v>2.1337941369641043E-2</v>
      </c>
    </row>
    <row r="25" spans="1:4">
      <c r="A25" s="10">
        <v>0.39854916738136503</v>
      </c>
      <c r="B25" s="65">
        <v>2.2652648901676134E-2</v>
      </c>
      <c r="C25" s="10">
        <v>0.40159851090972443</v>
      </c>
      <c r="D25" s="65">
        <v>2.3055042344350542E-2</v>
      </c>
    </row>
    <row r="26" spans="1:4">
      <c r="A26" s="10">
        <v>0.39884810742915883</v>
      </c>
      <c r="B26" s="65">
        <v>2.447992850073296E-2</v>
      </c>
      <c r="C26" s="10">
        <v>0.40232098506299274</v>
      </c>
      <c r="D26" s="65">
        <v>2.4906112375618107E-2</v>
      </c>
    </row>
    <row r="27" spans="1:4">
      <c r="A27" s="10">
        <v>0.39914908474125294</v>
      </c>
      <c r="B27" s="65">
        <v>2.6451033885876662E-2</v>
      </c>
      <c r="C27" s="10">
        <v>0.40310486864654821</v>
      </c>
      <c r="D27" s="65">
        <v>2.6900866848583786E-2</v>
      </c>
    </row>
    <row r="28" spans="1:4">
      <c r="A28" s="10">
        <v>0.39944909722855876</v>
      </c>
      <c r="B28" s="65">
        <v>2.8576740994248132E-2</v>
      </c>
      <c r="C28" s="10">
        <v>0.40395551430215815</v>
      </c>
      <c r="D28" s="65">
        <v>2.9049593273421864E-2</v>
      </c>
    </row>
    <row r="29" spans="1:4">
      <c r="A29" s="10">
        <v>0.39974445717312629</v>
      </c>
      <c r="B29" s="65">
        <v>3.0868555660670233E-2</v>
      </c>
      <c r="C29" s="10">
        <v>0.40487876170404169</v>
      </c>
      <c r="D29" s="65">
        <v>3.1363159544576774E-2</v>
      </c>
    </row>
    <row r="30" spans="1:4">
      <c r="A30" s="10">
        <v>0.40003067612408694</v>
      </c>
      <c r="B30" s="65">
        <v>3.3338753549653481E-2</v>
      </c>
      <c r="C30" s="10">
        <v>0.40588098481097207</v>
      </c>
      <c r="D30" s="65">
        <v>3.3853016349179157E-2</v>
      </c>
    </row>
    <row r="31" spans="1:4">
      <c r="A31" s="10">
        <v>0.40030233310550389</v>
      </c>
      <c r="B31" s="65">
        <v>3.6000421580559029E-2</v>
      </c>
      <c r="C31" s="10">
        <v>0.40696914406551565</v>
      </c>
      <c r="D31" s="65">
        <v>3.6531192164215187E-2</v>
      </c>
    </row>
    <row r="32" spans="1:4">
      <c r="A32" s="10">
        <v>0.40055292408194093</v>
      </c>
      <c r="B32" s="65">
        <v>3.8867501041963855E-2</v>
      </c>
      <c r="C32" s="10">
        <v>0.40815084408806523</v>
      </c>
      <c r="D32" s="65">
        <v>3.9410278980043942E-2</v>
      </c>
    </row>
    <row r="33" spans="1:4">
      <c r="A33" s="10">
        <v>0.40077469046532838</v>
      </c>
      <c r="B33" s="65">
        <v>4.1954832699218188E-2</v>
      </c>
      <c r="C33" s="10">
        <v>0.40943439747213678</v>
      </c>
      <c r="D33" s="65">
        <v>4.2503406534362784E-2</v>
      </c>
    </row>
    <row r="34" spans="1:4">
      <c r="A34" s="10">
        <v>0.40095842430221984</v>
      </c>
      <c r="B34" s="65">
        <v>4.5278204344842463E-2</v>
      </c>
      <c r="C34" s="10">
        <v>0.41082889535073497</v>
      </c>
      <c r="D34" s="65">
        <v>4.5824202427751981E-2</v>
      </c>
    </row>
    <row r="35" spans="1:4">
      <c r="A35" s="10">
        <v>0.40109324766807453</v>
      </c>
      <c r="B35" s="65">
        <v>4.8854401433341223E-2</v>
      </c>
      <c r="C35" s="10">
        <v>0.41234428547108393</v>
      </c>
      <c r="D35" s="65">
        <v>4.9386735010488347E-2</v>
      </c>
    </row>
    <row r="36" spans="1:4">
      <c r="A36" s="10">
        <v>0.4011663637342654</v>
      </c>
      <c r="B36" s="65">
        <v>5.2701261689456963E-2</v>
      </c>
      <c r="C36" s="10">
        <v>0.41399145858594982</v>
      </c>
      <c r="D36" s="65">
        <v>5.3205435370301916E-2</v>
      </c>
    </row>
    <row r="37" spans="1:4">
      <c r="A37" s="10">
        <v>0.4011627769903941</v>
      </c>
      <c r="B37" s="65">
        <v>5.6837734891184911E-2</v>
      </c>
      <c r="C37" s="10">
        <v>0.41578234404299058</v>
      </c>
      <c r="D37" s="65">
        <v>5.7294994100918366E-2</v>
      </c>
    </row>
    <row r="38" spans="1:4">
      <c r="A38" s="10">
        <v>0.40106498023425358</v>
      </c>
      <c r="B38" s="65">
        <v>6.1283949414413882E-2</v>
      </c>
      <c r="C38" s="10">
        <v>0.41773001552725242</v>
      </c>
      <c r="D38" s="65">
        <v>6.1670227779225074E-2</v>
      </c>
    </row>
    <row r="39" spans="1:4">
      <c r="A39" s="10">
        <v>0.40085260623085484</v>
      </c>
      <c r="B39" s="65">
        <v>6.6061287590596846E-2</v>
      </c>
      <c r="C39" s="10">
        <v>0.41984880798348784</v>
      </c>
      <c r="D39" s="65">
        <v>6.6345909211361104E-2</v>
      </c>
    </row>
    <row r="40" spans="1:4">
      <c r="A40" s="10">
        <v>0.40050204245138105</v>
      </c>
      <c r="B40" s="65">
        <v>7.1192472472842411E-2</v>
      </c>
      <c r="C40" s="10">
        <v>0.42215444681066083</v>
      </c>
      <c r="D40" s="65">
        <v>7.1336554510863265E-2</v>
      </c>
    </row>
    <row r="41" spans="1:4">
      <c r="A41" s="10">
        <v>0.39998600811266177</v>
      </c>
      <c r="B41" s="65">
        <v>7.6701669220437224E-2</v>
      </c>
      <c r="C41" s="10">
        <v>0.42466419047570048</v>
      </c>
      <c r="D41" s="65">
        <v>7.6656158930860599E-2</v>
      </c>
    </row>
    <row r="42" spans="1:4">
      <c r="A42" s="10">
        <v>0.39927309395204191</v>
      </c>
      <c r="B42" s="65">
        <v>8.2614604973170372E-2</v>
      </c>
      <c r="C42" s="10">
        <v>0.42739698773024976</v>
      </c>
      <c r="D42" s="65">
        <v>8.2317872073467649E-2</v>
      </c>
    </row>
    <row r="43" spans="1:4">
      <c r="A43" s="10">
        <v>0.39832726692707349</v>
      </c>
      <c r="B43" s="65">
        <v>8.8958711747748498E-2</v>
      </c>
      <c r="C43" s="10">
        <v>0.43037365062345823</v>
      </c>
      <c r="D43" s="65">
        <v>8.8333601631261527E-2</v>
      </c>
    </row>
    <row r="44" spans="1:4">
      <c r="A44" s="10">
        <v>0.39710734450088653</v>
      </c>
      <c r="B44" s="65">
        <v>9.5763297467182096E-2</v>
      </c>
      <c r="C44" s="10">
        <v>0.43361704447338145</v>
      </c>
      <c r="D44" s="65">
        <v>9.471353317055102E-2</v>
      </c>
    </row>
    <row r="45" spans="1:4">
      <c r="A45" s="10">
        <v>0.39556644659215623</v>
      </c>
      <c r="B45" s="65">
        <v>0.10305975059831088</v>
      </c>
      <c r="C45" s="10">
        <v>0.43715229587308763</v>
      </c>
      <c r="D45" s="65">
        <v>0.10146555164425504</v>
      </c>
    </row>
    <row r="46" spans="1:4">
      <c r="A46" s="10">
        <v>0.39365143793253754</v>
      </c>
      <c r="B46" s="65">
        <v>0.11088178382024005</v>
      </c>
      <c r="C46" s="10">
        <v>0.4410070196442421</v>
      </c>
      <c r="D46" s="65">
        <v>0.10859454833678461</v>
      </c>
    </row>
    <row r="47" spans="1:4">
      <c r="A47" s="10">
        <v>0.39130237987427624</v>
      </c>
      <c r="B47" s="65">
        <v>0.11926572137855368</v>
      </c>
      <c r="C47" s="10">
        <v>0.44521156538411416</v>
      </c>
      <c r="D47" s="65">
        <v>0.11610159482852934</v>
      </c>
    </row>
    <row r="48" spans="1:4">
      <c r="A48" s="10">
        <v>0.38845201913460509</v>
      </c>
      <c r="B48" s="65">
        <v>0.12825083286913191</v>
      </c>
      <c r="C48" s="10">
        <v>0.44979928384810419</v>
      </c>
      <c r="D48" s="65">
        <v>0.12398296339053051</v>
      </c>
    </row>
    <row r="49" spans="1:4">
      <c r="A49" s="10">
        <v>0.38502535221187884</v>
      </c>
      <c r="B49" s="65">
        <v>0.137879712546081</v>
      </c>
      <c r="C49" s="10">
        <v>0.45480681282737662</v>
      </c>
      <c r="D49" s="65">
        <v>0.13222897109859841</v>
      </c>
    </row>
    <row r="50" spans="1:4">
      <c r="A50" s="10">
        <v>0.38093931911338602</v>
      </c>
      <c r="B50" s="65">
        <v>0.14819869705408217</v>
      </c>
      <c r="C50" s="10">
        <v>0.46027438136899917</v>
      </c>
      <c r="D50" s="65">
        <v>0.14082262308538965</v>
      </c>
    </row>
    <row r="51" spans="1:4">
      <c r="A51" s="10">
        <v>0.37610269968056148</v>
      </c>
      <c r="B51" s="65">
        <v>0.15925830468215443</v>
      </c>
      <c r="C51" s="10">
        <v>0.46624613008256011</v>
      </c>
      <c r="D51" s="65">
        <v>0.14973802903884434</v>
      </c>
    </row>
    <row r="52" spans="1:4">
      <c r="A52" s="10">
        <v>0.3704163115274306</v>
      </c>
      <c r="B52" s="65">
        <v>0.17111366445998982</v>
      </c>
      <c r="C52" s="10">
        <v>0.47277044380920868</v>
      </c>
      <c r="D52" s="65">
        <v>0.15893856678616491</v>
      </c>
    </row>
    <row r="53" spans="1:4">
      <c r="A53" s="10">
        <v>0.36377364201051515</v>
      </c>
      <c r="B53" s="65">
        <v>0.18382488198331698</v>
      </c>
      <c r="C53" s="10">
        <v>0.47990029100974135</v>
      </c>
      <c r="D53" s="65">
        <v>0.1683747683031534</v>
      </c>
    </row>
    <row r="54" spans="1:4">
      <c r="A54" s="10">
        <v>0.35606208943784157</v>
      </c>
      <c r="B54" s="65">
        <v>0.19745725877210257</v>
      </c>
      <c r="C54" s="10">
        <v>0.48769356175468487</v>
      </c>
      <c r="D54" s="65">
        <v>0.17798190784681406</v>
      </c>
    </row>
    <row r="55" spans="1:4">
      <c r="A55" s="10">
        <v>0.34716504240560214</v>
      </c>
      <c r="B55" s="65">
        <v>0.21208124105747825</v>
      </c>
      <c r="C55" s="10">
        <v>0.49621339304460543</v>
      </c>
      <c r="D55" s="65">
        <v>0.18767728072185838</v>
      </c>
    </row>
    <row r="56" spans="1:4">
      <c r="A56" s="10">
        <v>0.33696509124641566</v>
      </c>
      <c r="B56" s="65">
        <v>0.2277719201012241</v>
      </c>
      <c r="C56" s="10">
        <v>0.50552846618450209</v>
      </c>
      <c r="D56" s="65">
        <v>0.19735717676719675</v>
      </c>
    </row>
    <row r="57" spans="1:4">
      <c r="A57" s="10">
        <v>0.3253487400376765</v>
      </c>
      <c r="B57" s="65">
        <v>0.24460783822256682</v>
      </c>
      <c r="C57" s="10">
        <v>0.51571325582837413</v>
      </c>
      <c r="D57" s="65">
        <v>0.20689357826335153</v>
      </c>
    </row>
    <row r="58" spans="1:4">
      <c r="A58" s="10">
        <v>0.3122130637923784</v>
      </c>
      <c r="B58" s="65">
        <v>0.26266877361661078</v>
      </c>
      <c r="C58" s="10">
        <v>0.52684820365300966</v>
      </c>
      <c r="D58" s="65">
        <v>0.21613065217642666</v>
      </c>
    </row>
    <row r="59" spans="1:4">
      <c r="A59" s="10">
        <v>0.29747481454939484</v>
      </c>
      <c r="B59" s="65">
        <v>0.2820320887941018</v>
      </c>
      <c r="C59" s="10">
        <v>0.53901978066023959</v>
      </c>
      <c r="D59" s="65">
        <v>0.22488116759978038</v>
      </c>
    </row>
    <row r="60" spans="1:4">
      <c r="A60" s="10">
        <v>0.28108248282007237</v>
      </c>
      <c r="B60" s="65">
        <v>0.30276714828721768</v>
      </c>
      <c r="C60" s="10">
        <v>0.55232038893770274</v>
      </c>
      <c r="D60" s="65">
        <v>0.23292305915294206</v>
      </c>
    </row>
    <row r="61" spans="1:4">
      <c r="A61" s="10">
        <v>0.26303169315455321</v>
      </c>
      <c r="B61" s="65">
        <v>0.32492727665547694</v>
      </c>
      <c r="C61" s="10">
        <v>0.5668480335550774</v>
      </c>
      <c r="D61" s="65">
        <v>0.23999648579693034</v>
      </c>
    </row>
    <row r="62" spans="1:4">
      <c r="A62" s="10">
        <v>0.24338392667082151</v>
      </c>
      <c r="B62" s="65">
        <v>0.34853880694181583</v>
      </c>
      <c r="C62" s="10">
        <v>0.58270566098276633</v>
      </c>
      <c r="D62" s="65">
        <v>0.24580191429384132</v>
      </c>
    </row>
    <row r="63" spans="1:4">
      <c r="A63" s="10">
        <v>0.22228772519425136</v>
      </c>
      <c r="B63" s="65">
        <v>0.37358708231929438</v>
      </c>
      <c r="C63" s="10">
        <v>0.6</v>
      </c>
      <c r="D63" s="65">
        <v>0.25</v>
      </c>
    </row>
    <row r="64" spans="1:4">
      <c r="A64" s="10">
        <v>0.2</v>
      </c>
      <c r="B64" s="65">
        <v>0.4</v>
      </c>
      <c r="C64" s="10">
        <v>0.61729433901723363</v>
      </c>
      <c r="D64" s="65">
        <v>0.25419808570615871</v>
      </c>
    </row>
    <row r="65" spans="1:4">
      <c r="A65" s="10">
        <v>0.17771227480574867</v>
      </c>
      <c r="B65" s="65">
        <v>0.42641291768070566</v>
      </c>
      <c r="C65" s="10">
        <v>0.63587932458264429</v>
      </c>
      <c r="D65" s="65">
        <v>0.25649897923961934</v>
      </c>
    </row>
    <row r="66" spans="1:4">
      <c r="A66" s="10">
        <v>0.15463734397795018</v>
      </c>
      <c r="B66" s="65">
        <v>0.45399532251450903</v>
      </c>
      <c r="C66" s="10">
        <v>0.65580061423639491</v>
      </c>
      <c r="D66" s="65">
        <v>0.25649910472033749</v>
      </c>
    </row>
    <row r="67" spans="1:4">
      <c r="A67" s="10">
        <v>0.13124886144130865</v>
      </c>
      <c r="B67" s="65">
        <v>0.48253802426838821</v>
      </c>
      <c r="C67" s="10">
        <v>0.67709410715241392</v>
      </c>
      <c r="D67" s="65">
        <v>0.2537730195067498</v>
      </c>
    </row>
    <row r="68" spans="1:4">
      <c r="A68" s="10">
        <v>0.10816565804009882</v>
      </c>
      <c r="B68" s="65">
        <v>0.51173092659197816</v>
      </c>
      <c r="C68" s="10">
        <v>0.69978472182621132</v>
      </c>
      <c r="D68" s="65">
        <v>0.24789563766283221</v>
      </c>
    </row>
    <row r="69" spans="1:4">
      <c r="A69" s="10">
        <v>8.6132431120446926E-2</v>
      </c>
      <c r="B69" s="65">
        <v>0.54115856039513266</v>
      </c>
      <c r="C69" s="10">
        <v>0.72388552872034573</v>
      </c>
      <c r="D69" s="65">
        <v>0.2384766713090942</v>
      </c>
    </row>
    <row r="70" spans="1:4">
      <c r="A70" s="10">
        <v>6.595572482221275E-2</v>
      </c>
      <c r="B70" s="65">
        <v>0.57031911607201602</v>
      </c>
      <c r="C70" s="10">
        <v>0.74939611573778198</v>
      </c>
      <c r="D70" s="65">
        <v>0.22520900118736853</v>
      </c>
    </row>
    <row r="71" spans="1:4">
      <c r="A71" s="10">
        <v>4.8383873778281704E-2</v>
      </c>
      <c r="B71" s="65">
        <v>0.59867878559081333</v>
      </c>
      <c r="C71" s="10">
        <v>0.77629696363404332</v>
      </c>
      <c r="D71" s="65">
        <v>0.20793032210993234</v>
      </c>
    </row>
    <row r="72" spans="1:4">
      <c r="A72" s="10">
        <v>3.3946551063367386E-2</v>
      </c>
      <c r="B72" s="65">
        <v>0.62576116951117355</v>
      </c>
      <c r="C72" s="10">
        <v>0.80453299512804421</v>
      </c>
      <c r="D72" s="65">
        <v>0.18669401584517317</v>
      </c>
    </row>
    <row r="73" spans="1:4">
      <c r="A73" s="10">
        <v>2.2813813496878006E-2</v>
      </c>
      <c r="B73" s="65">
        <v>0.65124510554798787</v>
      </c>
      <c r="C73" s="10">
        <v>0.83397444600938042</v>
      </c>
      <c r="D73" s="65">
        <v>0.16184282415386855</v>
      </c>
    </row>
    <row r="74" spans="1:4">
      <c r="A74" s="10">
        <v>1.4758216066812975E-2</v>
      </c>
      <c r="B74" s="65">
        <v>0.67502117142753582</v>
      </c>
    </row>
    <row r="75" spans="1:4">
      <c r="A75" s="10">
        <v>9.2568394271248314E-3</v>
      </c>
      <c r="B75" s="65">
        <v>0.69717080906995332</v>
      </c>
    </row>
    <row r="76" spans="1:4">
      <c r="A76" s="10">
        <v>5.6743418431979909E-3</v>
      </c>
      <c r="B76" s="65">
        <v>0.71788423372691834</v>
      </c>
    </row>
    <row r="77" spans="1:4">
      <c r="A77" s="10">
        <v>3.4231598445038096E-3</v>
      </c>
      <c r="B77" s="65">
        <v>0.73737125304144246</v>
      </c>
    </row>
  </sheetData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3:C6"/>
  <sheetViews>
    <sheetView workbookViewId="0">
      <selection activeCell="B3" sqref="B3"/>
    </sheetView>
  </sheetViews>
  <sheetFormatPr defaultRowHeight="12.6"/>
  <sheetData>
    <row r="3" spans="2:3">
      <c r="B3" s="71">
        <v>40578</v>
      </c>
      <c r="C3" s="72" t="s">
        <v>96</v>
      </c>
    </row>
    <row r="5" spans="2:3">
      <c r="B5" s="71">
        <v>38575</v>
      </c>
      <c r="C5" t="s">
        <v>93</v>
      </c>
    </row>
    <row r="6" spans="2:3">
      <c r="C6" t="s">
        <v>94</v>
      </c>
    </row>
  </sheetData>
  <sheetProtection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Instructions</vt:lpstr>
      <vt:lpstr>Residue Calculator</vt:lpstr>
      <vt:lpstr>Data Sheet</vt:lpstr>
      <vt:lpstr>Calculated curves</vt:lpstr>
      <vt:lpstr>Notes</vt:lpstr>
      <vt:lpstr>Example Residue Plot</vt:lpstr>
      <vt:lpstr>StartRow</vt:lpstr>
      <vt:lpstr>TK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</dc:creator>
  <cp:lastModifiedBy>Carl</cp:lastModifiedBy>
  <cp:lastPrinted>1998-09-02T20:35:14Z</cp:lastPrinted>
  <dcterms:created xsi:type="dcterms:W3CDTF">1997-12-11T15:53:49Z</dcterms:created>
  <dcterms:modified xsi:type="dcterms:W3CDTF">2011-02-05T02:20:03Z</dcterms:modified>
</cp:coreProperties>
</file>